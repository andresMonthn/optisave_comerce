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Programathon\.atomlogic\optisave_app marketing\"/>
    </mc:Choice>
  </mc:AlternateContent>
  <xr:revisionPtr revIDLastSave="0" documentId="13_ncr:1_{2C70A8A7-55FA-493E-B266-72DDA34D8DE8}" xr6:coauthVersionLast="47" xr6:coauthVersionMax="47" xr10:uidLastSave="{00000000-0000-0000-0000-000000000000}"/>
  <bookViews>
    <workbookView xWindow="28680" yWindow="-2325" windowWidth="29040" windowHeight="15720" tabRatio="500" xr2:uid="{00000000-000D-0000-FFFF-FFFF00000000}"/>
  </bookViews>
  <sheets>
    <sheet name="OptiSave Comerc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2" i="1" l="1"/>
  <c r="L2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I22" i="1"/>
  <c r="E63" i="1"/>
  <c r="F63" i="1" s="1"/>
  <c r="D63" i="1"/>
  <c r="C63" i="1"/>
  <c r="E62" i="1"/>
  <c r="F62" i="1" s="1"/>
  <c r="D62" i="1"/>
  <c r="C62" i="1"/>
  <c r="E61" i="1"/>
  <c r="F61" i="1" s="1"/>
  <c r="D61" i="1"/>
  <c r="C61" i="1"/>
  <c r="E60" i="1"/>
  <c r="F60" i="1" s="1"/>
  <c r="D60" i="1"/>
  <c r="C60" i="1"/>
  <c r="D41" i="1"/>
  <c r="B45" i="1" s="1"/>
  <c r="C41" i="1"/>
  <c r="B44" i="1" s="1"/>
  <c r="K40" i="1"/>
  <c r="J40" i="1"/>
  <c r="I40" i="1"/>
  <c r="H40" i="1"/>
  <c r="G40" i="1"/>
  <c r="F40" i="1"/>
  <c r="K39" i="1"/>
  <c r="J39" i="1"/>
  <c r="I39" i="1"/>
  <c r="H39" i="1"/>
  <c r="G39" i="1"/>
  <c r="F39" i="1"/>
  <c r="K38" i="1"/>
  <c r="J38" i="1"/>
  <c r="I38" i="1"/>
  <c r="H38" i="1"/>
  <c r="G38" i="1"/>
  <c r="F38" i="1"/>
  <c r="K37" i="1"/>
  <c r="J37" i="1"/>
  <c r="I37" i="1"/>
  <c r="H37" i="1"/>
  <c r="G37" i="1"/>
  <c r="F37" i="1"/>
  <c r="K36" i="1"/>
  <c r="J36" i="1"/>
  <c r="I36" i="1"/>
  <c r="H36" i="1"/>
  <c r="G36" i="1"/>
  <c r="F36" i="1"/>
  <c r="K35" i="1"/>
  <c r="J35" i="1"/>
  <c r="I35" i="1"/>
  <c r="H35" i="1"/>
  <c r="G35" i="1"/>
  <c r="F35" i="1"/>
  <c r="K34" i="1"/>
  <c r="J34" i="1"/>
  <c r="I34" i="1"/>
  <c r="H34" i="1"/>
  <c r="G34" i="1"/>
  <c r="F34" i="1"/>
  <c r="K33" i="1"/>
  <c r="J33" i="1"/>
  <c r="I33" i="1"/>
  <c r="H33" i="1"/>
  <c r="G33" i="1"/>
  <c r="F33" i="1"/>
  <c r="K32" i="1"/>
  <c r="J32" i="1"/>
  <c r="I32" i="1"/>
  <c r="H32" i="1"/>
  <c r="G32" i="1"/>
  <c r="F32" i="1"/>
  <c r="K31" i="1"/>
  <c r="J31" i="1"/>
  <c r="I31" i="1"/>
  <c r="H31" i="1"/>
  <c r="G31" i="1"/>
  <c r="F31" i="1"/>
  <c r="K30" i="1"/>
  <c r="J30" i="1"/>
  <c r="I30" i="1"/>
  <c r="H30" i="1"/>
  <c r="G30" i="1"/>
  <c r="F30" i="1"/>
  <c r="K29" i="1"/>
  <c r="J29" i="1"/>
  <c r="I29" i="1"/>
  <c r="H29" i="1"/>
  <c r="G29" i="1"/>
  <c r="F29" i="1"/>
  <c r="K28" i="1"/>
  <c r="J28" i="1"/>
  <c r="I28" i="1"/>
  <c r="H28" i="1"/>
  <c r="G28" i="1"/>
  <c r="F28" i="1"/>
  <c r="K27" i="1"/>
  <c r="J27" i="1"/>
  <c r="I27" i="1"/>
  <c r="H27" i="1"/>
  <c r="G27" i="1"/>
  <c r="F27" i="1"/>
  <c r="K26" i="1"/>
  <c r="J26" i="1"/>
  <c r="I26" i="1"/>
  <c r="H26" i="1"/>
  <c r="G26" i="1"/>
  <c r="F26" i="1"/>
  <c r="K25" i="1"/>
  <c r="J25" i="1"/>
  <c r="I25" i="1"/>
  <c r="H25" i="1"/>
  <c r="G25" i="1"/>
  <c r="F25" i="1"/>
  <c r="K24" i="1"/>
  <c r="J24" i="1"/>
  <c r="I24" i="1"/>
  <c r="H24" i="1"/>
  <c r="G24" i="1"/>
  <c r="F24" i="1"/>
  <c r="K23" i="1"/>
  <c r="J23" i="1"/>
  <c r="I23" i="1"/>
  <c r="H23" i="1"/>
  <c r="G23" i="1"/>
  <c r="F23" i="1"/>
  <c r="H22" i="1"/>
  <c r="J22" i="1" s="1"/>
  <c r="F22" i="1"/>
  <c r="G22" i="1" s="1"/>
  <c r="K22" i="1" s="1"/>
  <c r="I21" i="1"/>
  <c r="H21" i="1"/>
  <c r="F21" i="1"/>
  <c r="G21" i="1" s="1"/>
  <c r="L41" i="1" l="1"/>
  <c r="M22" i="1"/>
  <c r="M21" i="1"/>
  <c r="M41" i="1" s="1"/>
  <c r="I41" i="1"/>
  <c r="J21" i="1"/>
  <c r="H41" i="1"/>
  <c r="B49" i="1"/>
  <c r="B48" i="1"/>
  <c r="B46" i="1"/>
  <c r="B47" i="1" s="1"/>
  <c r="K21" i="1"/>
  <c r="G41" i="1"/>
  <c r="J41" i="1" l="1"/>
  <c r="K41" i="1" s="1"/>
  <c r="B50" i="1" l="1"/>
  <c r="B52" i="1" s="1"/>
  <c r="B51" i="1" l="1"/>
  <c r="B53" i="1" s="1"/>
</calcChain>
</file>

<file path=xl/sharedStrings.xml><?xml version="1.0" encoding="utf-8"?>
<sst xmlns="http://schemas.openxmlformats.org/spreadsheetml/2006/main" count="68" uniqueCount="63">
  <si>
    <t>OPTISAVE — PANEL COMERCIAL UNIFICADO (Precios · Comisiones · Ventas · Balance)</t>
  </si>
  <si>
    <t>Edita solo las celdas amarillas. Todo lo demás (comisiones, IVA, MRR y balance) se calcula automáticamente.</t>
  </si>
  <si>
    <t>1. PRECIOS E IVA</t>
  </si>
  <si>
    <t>2. TRAMOS COMISIÓN DOCTOR (sobre 1er pago)</t>
  </si>
  <si>
    <t>Precio licencia Doctor (mensual)</t>
  </si>
  <si>
    <t>Tramo</t>
  </si>
  <si>
    <t>Desde</t>
  </si>
  <si>
    <t>Hasta</t>
  </si>
  <si>
    <t>% Comisión</t>
  </si>
  <si>
    <t>Precio licencia Desktop (anual)</t>
  </si>
  <si>
    <t>1–24 nuevas licencias</t>
  </si>
  <si>
    <t>Comisión fija Desktop (por licencia)</t>
  </si>
  <si>
    <t>25–49 nuevas licencias</t>
  </si>
  <si>
    <t>IVA (México)</t>
  </si>
  <si>
    <t>50+ nuevas licencias</t>
  </si>
  <si>
    <t>3. BONO TRIMESTRAL DE PERMANENCIA (doctores activos)</t>
  </si>
  <si>
    <t>Bono ($)</t>
  </si>
  <si>
    <t>25–49 doctores activos</t>
  </si>
  <si>
    <t>50–99 doctores activos</t>
  </si>
  <si>
    <t>100+ doctores activos</t>
  </si>
  <si>
    <t>Nota: los tramos NO son marginales — todo el volumen del periodo se comisiona/bonifica al % o monto del tramo alcanzado.</t>
  </si>
  <si>
    <t>4. VENTAS POR EJECUTIVO Y BALANCE (por trimestre / clientes nuevos)</t>
  </si>
  <si>
    <t>Ejecutivo Comercial</t>
  </si>
  <si>
    <t>Trimestre / Periodo</t>
  </si>
  <si>
    <t>Clientes Doctor NUEVOS (trim.)</t>
  </si>
  <si>
    <t>Lic. Desktop vendidas</t>
  </si>
  <si>
    <t>Doctores activos (para bono)</t>
  </si>
  <si>
    <t>% Comisión Doctor</t>
  </si>
  <si>
    <t>Comisión Doctor ($)</t>
  </si>
  <si>
    <t>Comisión Desktop ($)</t>
  </si>
  <si>
    <t>Bono Trimestral ($)</t>
  </si>
  <si>
    <t>COMISIÓN TOTAL A PAGAR ($)</t>
  </si>
  <si>
    <t>Comisión promedio x cliente nuevo ($)</t>
  </si>
  <si>
    <t>Ana Torres</t>
  </si>
  <si>
    <t>Q1-2026</t>
  </si>
  <si>
    <t>Luis Medina</t>
  </si>
  <si>
    <t>TOTALES</t>
  </si>
  <si>
    <t>5. BALANCE GENERAL, MRR Y DECISIÓN</t>
  </si>
  <si>
    <t>Ingreso Doctor (sin IVA)</t>
  </si>
  <si>
    <t>Ingreso Desktop (sin IVA, anual)</t>
  </si>
  <si>
    <t>MRR Total (Doctor + Desktop/12)</t>
  </si>
  <si>
    <t>ARR Estimado (MRR x 12)</t>
  </si>
  <si>
    <t>IVA total (informativo, sobre ingreso Doctor+Desktop)</t>
  </si>
  <si>
    <t>Ingreso Total del periodo (sin IVA)</t>
  </si>
  <si>
    <t>Costo comercial total (comisiones + bono)</t>
  </si>
  <si>
    <t>Utilidad neta (Ingreso − Costo comercial)</t>
  </si>
  <si>
    <t>% Costo comercial sobre ingreso</t>
  </si>
  <si>
    <t>% Margen neto sobre ingreso</t>
  </si>
  <si>
    <t>Semáforo referencia: Margen neto ≥ 55% → esquema saludable | 40–55% → vigilar | &lt; 40% → revisar precio/comisiones</t>
  </si>
  <si>
    <t>6. SIMULADOR RÁPIDO — ¿Cuánto queda si un ejecutivo vende X licencias nuevas?</t>
  </si>
  <si>
    <t>Escribe cualquier cantidad de licencias en la columna amarilla y compara.</t>
  </si>
  <si>
    <t>Escenario</t>
  </si>
  <si>
    <t># Licencias Doctor</t>
  </si>
  <si>
    <t>Tramo aplicado</t>
  </si>
  <si>
    <t>Ingreso 1er pago ($)</t>
  </si>
  <si>
    <t>Comisión ($)</t>
  </si>
  <si>
    <t>Escenario A</t>
  </si>
  <si>
    <t>Escenario B</t>
  </si>
  <si>
    <t>Escenario C</t>
  </si>
  <si>
    <t>Escenario D (libre)</t>
  </si>
  <si>
    <t xml:space="preserve">Gananancia sin iva </t>
  </si>
  <si>
    <t>Ganancia Por Comision Pagada</t>
  </si>
  <si>
    <t>24–24 doctores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</si>
</sst>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8"/>
      <color rgb="FF808080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8EA9DB"/>
        <bgColor rgb="FF969696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64" fontId="4" fillId="4" borderId="1" xfId="0" applyNumberFormat="1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/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6" borderId="0" xfId="0" applyFont="1" applyFill="1"/>
    <xf numFmtId="164" fontId="6" fillId="6" borderId="0" xfId="0" applyNumberFormat="1" applyFont="1" applyFill="1"/>
    <xf numFmtId="164" fontId="0" fillId="0" borderId="0" xfId="0" applyNumberFormat="1"/>
    <xf numFmtId="164" fontId="0" fillId="0" borderId="1" xfId="0" applyNumberFormat="1" applyBorder="1"/>
    <xf numFmtId="0" fontId="6" fillId="7" borderId="1" xfId="0" applyFont="1" applyFill="1" applyBorder="1"/>
    <xf numFmtId="164" fontId="6" fillId="7" borderId="1" xfId="0" applyNumberFormat="1" applyFont="1" applyFill="1" applyBorder="1"/>
    <xf numFmtId="165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8EA9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showGridLines="0" tabSelected="1" topLeftCell="A3" zoomScaleNormal="100" workbookViewId="0">
      <selection activeCell="D28" sqref="D28"/>
    </sheetView>
  </sheetViews>
  <sheetFormatPr baseColWidth="10" defaultColWidth="8.6640625" defaultRowHeight="14.4" x14ac:dyDescent="0.3"/>
  <cols>
    <col min="1" max="1" width="26" customWidth="1"/>
    <col min="2" max="2" width="22" customWidth="1"/>
    <col min="3" max="9" width="18" customWidth="1"/>
    <col min="10" max="11" width="20" customWidth="1"/>
    <col min="12" max="12" width="13.44140625" bestFit="1" customWidth="1"/>
    <col min="13" max="13" width="12.5546875" customWidth="1"/>
  </cols>
  <sheetData>
    <row r="1" spans="1:10" ht="25.5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4" spans="1:10" ht="15" customHeight="1" x14ac:dyDescent="0.3">
      <c r="A4" s="24" t="s">
        <v>2</v>
      </c>
      <c r="B4" s="24"/>
      <c r="C4" s="24"/>
      <c r="D4" s="24"/>
      <c r="F4" s="24" t="s">
        <v>3</v>
      </c>
      <c r="G4" s="24"/>
      <c r="H4" s="24"/>
      <c r="I4" s="24"/>
    </row>
    <row r="5" spans="1:10" x14ac:dyDescent="0.3">
      <c r="A5" s="1" t="s">
        <v>4</v>
      </c>
      <c r="B5" s="2">
        <v>350</v>
      </c>
      <c r="F5" s="3" t="s">
        <v>5</v>
      </c>
      <c r="G5" s="3" t="s">
        <v>6</v>
      </c>
      <c r="H5" s="3" t="s">
        <v>7</v>
      </c>
      <c r="I5" s="3" t="s">
        <v>8</v>
      </c>
    </row>
    <row r="6" spans="1:10" ht="28.8" x14ac:dyDescent="0.3">
      <c r="A6" s="1" t="s">
        <v>9</v>
      </c>
      <c r="B6" s="2">
        <v>4500</v>
      </c>
      <c r="F6" s="4" t="s">
        <v>10</v>
      </c>
      <c r="G6" s="5">
        <v>1</v>
      </c>
      <c r="H6" s="5">
        <v>24</v>
      </c>
      <c r="I6" s="6">
        <v>0.3</v>
      </c>
    </row>
    <row r="7" spans="1:10" ht="28.8" x14ac:dyDescent="0.3">
      <c r="A7" s="1" t="s">
        <v>11</v>
      </c>
      <c r="B7" s="2">
        <v>500</v>
      </c>
      <c r="F7" s="4" t="s">
        <v>12</v>
      </c>
      <c r="G7" s="5">
        <v>25</v>
      </c>
      <c r="H7" s="5">
        <v>49</v>
      </c>
      <c r="I7" s="6">
        <v>0.4</v>
      </c>
    </row>
    <row r="8" spans="1:10" x14ac:dyDescent="0.3">
      <c r="A8" s="1" t="s">
        <v>13</v>
      </c>
      <c r="B8" s="7">
        <v>0.16</v>
      </c>
      <c r="F8" s="4" t="s">
        <v>14</v>
      </c>
      <c r="G8" s="5">
        <v>50</v>
      </c>
      <c r="H8" s="5">
        <v>9999</v>
      </c>
      <c r="I8" s="6">
        <v>0.5</v>
      </c>
    </row>
    <row r="10" spans="1:10" ht="15" customHeight="1" x14ac:dyDescent="0.3">
      <c r="F10" s="24" t="s">
        <v>15</v>
      </c>
      <c r="G10" s="24"/>
      <c r="H10" s="24"/>
      <c r="I10" s="24"/>
    </row>
    <row r="11" spans="1:10" x14ac:dyDescent="0.3">
      <c r="F11" s="3" t="s">
        <v>5</v>
      </c>
      <c r="G11" s="3" t="s">
        <v>6</v>
      </c>
      <c r="H11" s="3" t="s">
        <v>7</v>
      </c>
      <c r="I11" s="3" t="s">
        <v>16</v>
      </c>
    </row>
    <row r="12" spans="1:10" ht="28.8" x14ac:dyDescent="0.3">
      <c r="F12" s="4" t="s">
        <v>62</v>
      </c>
      <c r="G12" s="5">
        <v>24</v>
      </c>
      <c r="H12" s="5">
        <v>24</v>
      </c>
      <c r="I12" s="8">
        <v>1500</v>
      </c>
    </row>
    <row r="13" spans="1:10" ht="28.8" x14ac:dyDescent="0.3">
      <c r="F13" s="4" t="s">
        <v>17</v>
      </c>
      <c r="G13" s="5">
        <v>25</v>
      </c>
      <c r="H13" s="5">
        <v>49</v>
      </c>
      <c r="I13" s="8">
        <v>4000</v>
      </c>
    </row>
    <row r="14" spans="1:10" ht="28.8" x14ac:dyDescent="0.3">
      <c r="F14" s="4" t="s">
        <v>18</v>
      </c>
      <c r="G14" s="5">
        <v>50</v>
      </c>
      <c r="H14" s="5">
        <v>99</v>
      </c>
      <c r="I14" s="8">
        <v>9000</v>
      </c>
    </row>
    <row r="15" spans="1:10" ht="28.8" x14ac:dyDescent="0.3">
      <c r="F15" s="4" t="s">
        <v>19</v>
      </c>
      <c r="G15" s="5">
        <v>100</v>
      </c>
      <c r="H15" s="5">
        <v>99999</v>
      </c>
      <c r="I15" s="8">
        <v>20000</v>
      </c>
    </row>
    <row r="17" spans="1:13" x14ac:dyDescent="0.3">
      <c r="A17" s="23" t="s">
        <v>20</v>
      </c>
      <c r="B17" s="23"/>
      <c r="C17" s="23"/>
      <c r="D17" s="23"/>
      <c r="E17" s="23"/>
      <c r="F17" s="23"/>
      <c r="G17" s="23"/>
      <c r="H17" s="23"/>
      <c r="I17" s="23"/>
    </row>
    <row r="19" spans="1:13" ht="15" customHeight="1" x14ac:dyDescent="0.3">
      <c r="A19" s="24" t="s">
        <v>21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</row>
    <row r="20" spans="1:13" ht="33.75" customHeight="1" x14ac:dyDescent="0.3">
      <c r="A20" s="3" t="s">
        <v>22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29</v>
      </c>
      <c r="I20" s="3" t="s">
        <v>30</v>
      </c>
      <c r="J20" s="3" t="s">
        <v>31</v>
      </c>
      <c r="K20" s="3" t="s">
        <v>32</v>
      </c>
      <c r="L20" s="3" t="s">
        <v>60</v>
      </c>
      <c r="M20" s="21" t="s">
        <v>61</v>
      </c>
    </row>
    <row r="21" spans="1:13" x14ac:dyDescent="0.3">
      <c r="A21" s="9" t="s">
        <v>33</v>
      </c>
      <c r="B21" s="9" t="s">
        <v>34</v>
      </c>
      <c r="C21" s="5">
        <v>1</v>
      </c>
      <c r="D21" s="5">
        <v>0</v>
      </c>
      <c r="E21" s="5">
        <v>0</v>
      </c>
      <c r="F21" s="10">
        <f t="shared" ref="F21:F40" si="0">IF(C21="","",IFERROR(SUMPRODUCT((C21&gt;=$G$6:$G$8)*(C21&lt;=$H$6:$H$8)*$I$6:$I$8),"Sin tramo"))</f>
        <v>0.3</v>
      </c>
      <c r="G21" s="11">
        <f t="shared" ref="G21:G40" si="1">IF(C21="","",C21*$B$5*IF(ISNUMBER(F21),F21,0))</f>
        <v>105</v>
      </c>
      <c r="H21" s="11">
        <f t="shared" ref="H21:H40" si="2">IF(D21="","",D21*$B$7)</f>
        <v>0</v>
      </c>
      <c r="I21" s="11">
        <f t="shared" ref="I21:I40" si="3">IF(E21="","",IFERROR(SUMPRODUCT((E21&gt;=$G$12:$G$15)*(E21&lt;=$H$12:$H$15)*$I$12:$I$15),"Sin tramo"))</f>
        <v>0</v>
      </c>
      <c r="J21" s="12">
        <f t="shared" ref="J21:J40" si="4">IF(C21="","",SUM(N(G21),N(H21),N(I21)))</f>
        <v>105</v>
      </c>
      <c r="K21" s="11">
        <f t="shared" ref="K21:L40" si="5">IF(C21="","",IFERROR(G21/C21,0))</f>
        <v>105</v>
      </c>
      <c r="L21" s="11">
        <f>PRODUCT(C21,B5)</f>
        <v>350</v>
      </c>
      <c r="M21" s="15">
        <f>L21-G21</f>
        <v>245</v>
      </c>
    </row>
    <row r="22" spans="1:13" x14ac:dyDescent="0.3">
      <c r="A22" s="9" t="s">
        <v>35</v>
      </c>
      <c r="B22" s="9" t="s">
        <v>34</v>
      </c>
      <c r="C22" s="5">
        <v>50</v>
      </c>
      <c r="D22" s="5">
        <v>0</v>
      </c>
      <c r="E22" s="5">
        <v>0</v>
      </c>
      <c r="F22" s="10">
        <f t="shared" si="0"/>
        <v>0.5</v>
      </c>
      <c r="G22" s="11">
        <f t="shared" si="1"/>
        <v>8750</v>
      </c>
      <c r="H22" s="11">
        <f t="shared" si="2"/>
        <v>0</v>
      </c>
      <c r="I22" s="11">
        <f t="shared" si="3"/>
        <v>0</v>
      </c>
      <c r="J22" s="12">
        <f t="shared" si="4"/>
        <v>8750</v>
      </c>
      <c r="K22" s="11">
        <f t="shared" si="5"/>
        <v>175</v>
      </c>
      <c r="L22" s="11">
        <f>PRODUCT(C22,B5)</f>
        <v>17500</v>
      </c>
      <c r="M22" s="15">
        <f>L22-G22</f>
        <v>8750</v>
      </c>
    </row>
    <row r="23" spans="1:13" x14ac:dyDescent="0.3">
      <c r="A23" s="9"/>
      <c r="B23" s="9"/>
      <c r="C23" s="5"/>
      <c r="D23" s="5"/>
      <c r="E23" s="5"/>
      <c r="F23" s="10" t="str">
        <f t="shared" si="0"/>
        <v/>
      </c>
      <c r="G23" s="11" t="str">
        <f t="shared" si="1"/>
        <v/>
      </c>
      <c r="H23" s="11" t="str">
        <f t="shared" si="2"/>
        <v/>
      </c>
      <c r="I23" s="11" t="str">
        <f t="shared" si="3"/>
        <v/>
      </c>
      <c r="J23" s="12" t="str">
        <f t="shared" si="4"/>
        <v/>
      </c>
      <c r="K23" s="11" t="str">
        <f t="shared" si="5"/>
        <v/>
      </c>
      <c r="L23" s="11" t="str">
        <f t="shared" si="5"/>
        <v/>
      </c>
    </row>
    <row r="24" spans="1:13" x14ac:dyDescent="0.3">
      <c r="A24" s="9"/>
      <c r="B24" s="9"/>
      <c r="C24" s="5"/>
      <c r="D24" s="5"/>
      <c r="E24" s="5"/>
      <c r="F24" s="10" t="str">
        <f t="shared" si="0"/>
        <v/>
      </c>
      <c r="G24" s="11" t="str">
        <f t="shared" si="1"/>
        <v/>
      </c>
      <c r="H24" s="11" t="str">
        <f t="shared" si="2"/>
        <v/>
      </c>
      <c r="I24" s="11" t="str">
        <f t="shared" si="3"/>
        <v/>
      </c>
      <c r="J24" s="12" t="str">
        <f t="shared" si="4"/>
        <v/>
      </c>
      <c r="K24" s="11" t="str">
        <f t="shared" si="5"/>
        <v/>
      </c>
      <c r="L24" s="11" t="str">
        <f t="shared" si="5"/>
        <v/>
      </c>
    </row>
    <row r="25" spans="1:13" x14ac:dyDescent="0.3">
      <c r="A25" s="9"/>
      <c r="B25" s="9"/>
      <c r="C25" s="5"/>
      <c r="D25" s="5"/>
      <c r="E25" s="5"/>
      <c r="F25" s="10" t="str">
        <f t="shared" si="0"/>
        <v/>
      </c>
      <c r="G25" s="11" t="str">
        <f t="shared" si="1"/>
        <v/>
      </c>
      <c r="H25" s="11" t="str">
        <f t="shared" si="2"/>
        <v/>
      </c>
      <c r="I25" s="11" t="str">
        <f t="shared" si="3"/>
        <v/>
      </c>
      <c r="J25" s="12" t="str">
        <f t="shared" si="4"/>
        <v/>
      </c>
      <c r="K25" s="11" t="str">
        <f t="shared" si="5"/>
        <v/>
      </c>
      <c r="L25" s="11" t="str">
        <f t="shared" si="5"/>
        <v/>
      </c>
    </row>
    <row r="26" spans="1:13" x14ac:dyDescent="0.3">
      <c r="A26" s="9"/>
      <c r="B26" s="9"/>
      <c r="C26" s="5"/>
      <c r="D26" s="5"/>
      <c r="E26" s="5"/>
      <c r="F26" s="10" t="str">
        <f t="shared" si="0"/>
        <v/>
      </c>
      <c r="G26" s="11" t="str">
        <f t="shared" si="1"/>
        <v/>
      </c>
      <c r="H26" s="11" t="str">
        <f t="shared" si="2"/>
        <v/>
      </c>
      <c r="I26" s="11" t="str">
        <f t="shared" si="3"/>
        <v/>
      </c>
      <c r="J26" s="12" t="str">
        <f t="shared" si="4"/>
        <v/>
      </c>
      <c r="K26" s="11" t="str">
        <f t="shared" si="5"/>
        <v/>
      </c>
      <c r="L26" s="11" t="str">
        <f t="shared" si="5"/>
        <v/>
      </c>
    </row>
    <row r="27" spans="1:13" x14ac:dyDescent="0.3">
      <c r="A27" s="9"/>
      <c r="B27" s="9"/>
      <c r="C27" s="5"/>
      <c r="D27" s="5"/>
      <c r="E27" s="5"/>
      <c r="F27" s="10" t="str">
        <f t="shared" si="0"/>
        <v/>
      </c>
      <c r="G27" s="11" t="str">
        <f t="shared" si="1"/>
        <v/>
      </c>
      <c r="H27" s="11" t="str">
        <f t="shared" si="2"/>
        <v/>
      </c>
      <c r="I27" s="11" t="str">
        <f t="shared" si="3"/>
        <v/>
      </c>
      <c r="J27" s="12" t="str">
        <f t="shared" si="4"/>
        <v/>
      </c>
      <c r="K27" s="11" t="str">
        <f t="shared" si="5"/>
        <v/>
      </c>
      <c r="L27" s="11" t="str">
        <f t="shared" si="5"/>
        <v/>
      </c>
    </row>
    <row r="28" spans="1:13" x14ac:dyDescent="0.3">
      <c r="A28" s="9"/>
      <c r="B28" s="9"/>
      <c r="C28" s="5"/>
      <c r="D28" s="5"/>
      <c r="E28" s="5"/>
      <c r="F28" s="10" t="str">
        <f t="shared" si="0"/>
        <v/>
      </c>
      <c r="G28" s="11" t="str">
        <f t="shared" si="1"/>
        <v/>
      </c>
      <c r="H28" s="11" t="str">
        <f t="shared" si="2"/>
        <v/>
      </c>
      <c r="I28" s="11" t="str">
        <f t="shared" si="3"/>
        <v/>
      </c>
      <c r="J28" s="12" t="str">
        <f t="shared" si="4"/>
        <v/>
      </c>
      <c r="K28" s="11" t="str">
        <f t="shared" si="5"/>
        <v/>
      </c>
      <c r="L28" s="11" t="str">
        <f t="shared" si="5"/>
        <v/>
      </c>
    </row>
    <row r="29" spans="1:13" x14ac:dyDescent="0.3">
      <c r="A29" s="9"/>
      <c r="B29" s="9"/>
      <c r="C29" s="5"/>
      <c r="D29" s="5"/>
      <c r="E29" s="5"/>
      <c r="F29" s="10" t="str">
        <f t="shared" si="0"/>
        <v/>
      </c>
      <c r="G29" s="11" t="str">
        <f t="shared" si="1"/>
        <v/>
      </c>
      <c r="H29" s="11" t="str">
        <f t="shared" si="2"/>
        <v/>
      </c>
      <c r="I29" s="11" t="str">
        <f t="shared" si="3"/>
        <v/>
      </c>
      <c r="J29" s="12" t="str">
        <f t="shared" si="4"/>
        <v/>
      </c>
      <c r="K29" s="11" t="str">
        <f t="shared" si="5"/>
        <v/>
      </c>
      <c r="L29" s="11" t="str">
        <f t="shared" si="5"/>
        <v/>
      </c>
    </row>
    <row r="30" spans="1:13" x14ac:dyDescent="0.3">
      <c r="A30" s="9"/>
      <c r="B30" s="9"/>
      <c r="C30" s="5"/>
      <c r="D30" s="5"/>
      <c r="E30" s="5"/>
      <c r="F30" s="10" t="str">
        <f t="shared" si="0"/>
        <v/>
      </c>
      <c r="G30" s="11" t="str">
        <f t="shared" si="1"/>
        <v/>
      </c>
      <c r="H30" s="11" t="str">
        <f t="shared" si="2"/>
        <v/>
      </c>
      <c r="I30" s="11" t="str">
        <f t="shared" si="3"/>
        <v/>
      </c>
      <c r="J30" s="12" t="str">
        <f t="shared" si="4"/>
        <v/>
      </c>
      <c r="K30" s="11" t="str">
        <f t="shared" si="5"/>
        <v/>
      </c>
      <c r="L30" s="11" t="str">
        <f t="shared" si="5"/>
        <v/>
      </c>
    </row>
    <row r="31" spans="1:13" x14ac:dyDescent="0.3">
      <c r="A31" s="9"/>
      <c r="B31" s="9"/>
      <c r="C31" s="5"/>
      <c r="D31" s="5"/>
      <c r="E31" s="5"/>
      <c r="F31" s="10" t="str">
        <f t="shared" si="0"/>
        <v/>
      </c>
      <c r="G31" s="11" t="str">
        <f t="shared" si="1"/>
        <v/>
      </c>
      <c r="H31" s="11" t="str">
        <f t="shared" si="2"/>
        <v/>
      </c>
      <c r="I31" s="11" t="str">
        <f t="shared" si="3"/>
        <v/>
      </c>
      <c r="J31" s="12" t="str">
        <f t="shared" si="4"/>
        <v/>
      </c>
      <c r="K31" s="11" t="str">
        <f t="shared" si="5"/>
        <v/>
      </c>
      <c r="L31" s="11" t="str">
        <f t="shared" si="5"/>
        <v/>
      </c>
    </row>
    <row r="32" spans="1:13" x14ac:dyDescent="0.3">
      <c r="A32" s="9"/>
      <c r="B32" s="9"/>
      <c r="C32" s="5"/>
      <c r="D32" s="5"/>
      <c r="E32" s="5"/>
      <c r="F32" s="10" t="str">
        <f t="shared" si="0"/>
        <v/>
      </c>
      <c r="G32" s="11" t="str">
        <f t="shared" si="1"/>
        <v/>
      </c>
      <c r="H32" s="11" t="str">
        <f t="shared" si="2"/>
        <v/>
      </c>
      <c r="I32" s="11" t="str">
        <f t="shared" si="3"/>
        <v/>
      </c>
      <c r="J32" s="12" t="str">
        <f t="shared" si="4"/>
        <v/>
      </c>
      <c r="K32" s="11" t="str">
        <f t="shared" si="5"/>
        <v/>
      </c>
      <c r="L32" s="11" t="str">
        <f t="shared" si="5"/>
        <v/>
      </c>
    </row>
    <row r="33" spans="1:13" x14ac:dyDescent="0.3">
      <c r="A33" s="9"/>
      <c r="B33" s="9"/>
      <c r="C33" s="5"/>
      <c r="D33" s="5"/>
      <c r="E33" s="5"/>
      <c r="F33" s="10" t="str">
        <f t="shared" si="0"/>
        <v/>
      </c>
      <c r="G33" s="11" t="str">
        <f t="shared" si="1"/>
        <v/>
      </c>
      <c r="H33" s="11" t="str">
        <f t="shared" si="2"/>
        <v/>
      </c>
      <c r="I33" s="11" t="str">
        <f t="shared" si="3"/>
        <v/>
      </c>
      <c r="J33" s="12" t="str">
        <f t="shared" si="4"/>
        <v/>
      </c>
      <c r="K33" s="11" t="str">
        <f t="shared" si="5"/>
        <v/>
      </c>
      <c r="L33" s="11" t="str">
        <f t="shared" si="5"/>
        <v/>
      </c>
    </row>
    <row r="34" spans="1:13" x14ac:dyDescent="0.3">
      <c r="A34" s="9"/>
      <c r="B34" s="9"/>
      <c r="C34" s="5"/>
      <c r="D34" s="5"/>
      <c r="E34" s="5"/>
      <c r="F34" s="10" t="str">
        <f t="shared" si="0"/>
        <v/>
      </c>
      <c r="G34" s="11" t="str">
        <f t="shared" si="1"/>
        <v/>
      </c>
      <c r="H34" s="11" t="str">
        <f t="shared" si="2"/>
        <v/>
      </c>
      <c r="I34" s="11" t="str">
        <f t="shared" si="3"/>
        <v/>
      </c>
      <c r="J34" s="12" t="str">
        <f t="shared" si="4"/>
        <v/>
      </c>
      <c r="K34" s="11" t="str">
        <f t="shared" si="5"/>
        <v/>
      </c>
      <c r="L34" s="11" t="str">
        <f t="shared" si="5"/>
        <v/>
      </c>
    </row>
    <row r="35" spans="1:13" x14ac:dyDescent="0.3">
      <c r="A35" s="9"/>
      <c r="B35" s="9"/>
      <c r="C35" s="5"/>
      <c r="D35" s="5"/>
      <c r="E35" s="5"/>
      <c r="F35" s="10" t="str">
        <f t="shared" si="0"/>
        <v/>
      </c>
      <c r="G35" s="11" t="str">
        <f t="shared" si="1"/>
        <v/>
      </c>
      <c r="H35" s="11" t="str">
        <f t="shared" si="2"/>
        <v/>
      </c>
      <c r="I35" s="11" t="str">
        <f t="shared" si="3"/>
        <v/>
      </c>
      <c r="J35" s="12" t="str">
        <f t="shared" si="4"/>
        <v/>
      </c>
      <c r="K35" s="11" t="str">
        <f t="shared" si="5"/>
        <v/>
      </c>
      <c r="L35" s="11" t="str">
        <f t="shared" si="5"/>
        <v/>
      </c>
    </row>
    <row r="36" spans="1:13" x14ac:dyDescent="0.3">
      <c r="A36" s="9"/>
      <c r="B36" s="9"/>
      <c r="C36" s="5"/>
      <c r="D36" s="5"/>
      <c r="E36" s="5"/>
      <c r="F36" s="10" t="str">
        <f t="shared" si="0"/>
        <v/>
      </c>
      <c r="G36" s="11" t="str">
        <f t="shared" si="1"/>
        <v/>
      </c>
      <c r="H36" s="11" t="str">
        <f t="shared" si="2"/>
        <v/>
      </c>
      <c r="I36" s="11" t="str">
        <f t="shared" si="3"/>
        <v/>
      </c>
      <c r="J36" s="12" t="str">
        <f t="shared" si="4"/>
        <v/>
      </c>
      <c r="K36" s="11" t="str">
        <f t="shared" si="5"/>
        <v/>
      </c>
      <c r="L36" s="11" t="str">
        <f t="shared" si="5"/>
        <v/>
      </c>
    </row>
    <row r="37" spans="1:13" x14ac:dyDescent="0.3">
      <c r="A37" s="9"/>
      <c r="B37" s="9"/>
      <c r="C37" s="5"/>
      <c r="D37" s="5"/>
      <c r="E37" s="5"/>
      <c r="F37" s="10" t="str">
        <f t="shared" si="0"/>
        <v/>
      </c>
      <c r="G37" s="11" t="str">
        <f t="shared" si="1"/>
        <v/>
      </c>
      <c r="H37" s="11" t="str">
        <f t="shared" si="2"/>
        <v/>
      </c>
      <c r="I37" s="11" t="str">
        <f t="shared" si="3"/>
        <v/>
      </c>
      <c r="J37" s="12" t="str">
        <f t="shared" si="4"/>
        <v/>
      </c>
      <c r="K37" s="11" t="str">
        <f t="shared" si="5"/>
        <v/>
      </c>
      <c r="L37" s="11" t="str">
        <f t="shared" si="5"/>
        <v/>
      </c>
    </row>
    <row r="38" spans="1:13" x14ac:dyDescent="0.3">
      <c r="A38" s="9"/>
      <c r="B38" s="9"/>
      <c r="C38" s="5"/>
      <c r="D38" s="5"/>
      <c r="E38" s="5"/>
      <c r="F38" s="10" t="str">
        <f t="shared" si="0"/>
        <v/>
      </c>
      <c r="G38" s="11" t="str">
        <f t="shared" si="1"/>
        <v/>
      </c>
      <c r="H38" s="11" t="str">
        <f t="shared" si="2"/>
        <v/>
      </c>
      <c r="I38" s="11" t="str">
        <f t="shared" si="3"/>
        <v/>
      </c>
      <c r="J38" s="12" t="str">
        <f t="shared" si="4"/>
        <v/>
      </c>
      <c r="K38" s="11" t="str">
        <f t="shared" si="5"/>
        <v/>
      </c>
      <c r="L38" s="11" t="str">
        <f t="shared" si="5"/>
        <v/>
      </c>
    </row>
    <row r="39" spans="1:13" x14ac:dyDescent="0.3">
      <c r="A39" s="9"/>
      <c r="B39" s="9"/>
      <c r="C39" s="5"/>
      <c r="D39" s="5"/>
      <c r="E39" s="5"/>
      <c r="F39" s="10" t="str">
        <f t="shared" si="0"/>
        <v/>
      </c>
      <c r="G39" s="11" t="str">
        <f t="shared" si="1"/>
        <v/>
      </c>
      <c r="H39" s="11" t="str">
        <f t="shared" si="2"/>
        <v/>
      </c>
      <c r="I39" s="11" t="str">
        <f t="shared" si="3"/>
        <v/>
      </c>
      <c r="J39" s="12" t="str">
        <f t="shared" si="4"/>
        <v/>
      </c>
      <c r="K39" s="11" t="str">
        <f t="shared" si="5"/>
        <v/>
      </c>
      <c r="L39" s="11" t="str">
        <f t="shared" si="5"/>
        <v/>
      </c>
    </row>
    <row r="40" spans="1:13" x14ac:dyDescent="0.3">
      <c r="A40" s="9"/>
      <c r="B40" s="9"/>
      <c r="C40" s="5"/>
      <c r="D40" s="5"/>
      <c r="E40" s="5"/>
      <c r="F40" s="10" t="str">
        <f t="shared" si="0"/>
        <v/>
      </c>
      <c r="G40" s="11" t="str">
        <f t="shared" si="1"/>
        <v/>
      </c>
      <c r="H40" s="11" t="str">
        <f t="shared" si="2"/>
        <v/>
      </c>
      <c r="I40" s="11" t="str">
        <f t="shared" si="3"/>
        <v/>
      </c>
      <c r="J40" s="12" t="str">
        <f t="shared" si="4"/>
        <v/>
      </c>
      <c r="K40" s="11" t="str">
        <f t="shared" si="5"/>
        <v/>
      </c>
      <c r="L40" s="11" t="str">
        <f t="shared" si="5"/>
        <v/>
      </c>
    </row>
    <row r="41" spans="1:13" x14ac:dyDescent="0.3">
      <c r="A41" s="13" t="s">
        <v>36</v>
      </c>
      <c r="B41" s="13"/>
      <c r="C41" s="13">
        <f>SUM(C21:C40)</f>
        <v>51</v>
      </c>
      <c r="D41" s="13">
        <f>SUM(D21:D40)</f>
        <v>0</v>
      </c>
      <c r="E41" s="13"/>
      <c r="F41" s="13"/>
      <c r="G41" s="14">
        <f>SUM(G21:G40)</f>
        <v>8855</v>
      </c>
      <c r="H41" s="14">
        <f>SUM(H21:H40)</f>
        <v>0</v>
      </c>
      <c r="I41" s="14">
        <f>SUM(I21:I40)</f>
        <v>0</v>
      </c>
      <c r="J41" s="14">
        <f>SUM(J21:J40)</f>
        <v>8855</v>
      </c>
      <c r="K41" s="14">
        <f>IFERROR(J41/C41,0)</f>
        <v>173.62745098039215</v>
      </c>
      <c r="L41" s="14">
        <f>SUM(L21:L40)</f>
        <v>17850</v>
      </c>
      <c r="M41" s="14">
        <f>SUM(M21,M22)</f>
        <v>8995</v>
      </c>
    </row>
    <row r="43" spans="1:13" ht="15" customHeight="1" x14ac:dyDescent="0.3">
      <c r="A43" s="24" t="s">
        <v>37</v>
      </c>
      <c r="B43" s="24"/>
      <c r="C43" s="24"/>
      <c r="D43" s="24"/>
    </row>
    <row r="44" spans="1:13" x14ac:dyDescent="0.3">
      <c r="A44" t="s">
        <v>38</v>
      </c>
      <c r="B44" s="15">
        <f>$C$41*$B$5</f>
        <v>17850</v>
      </c>
    </row>
    <row r="45" spans="1:13" x14ac:dyDescent="0.3">
      <c r="A45" s="1" t="s">
        <v>39</v>
      </c>
      <c r="B45" s="16">
        <f>$D$41*$B$6</f>
        <v>0</v>
      </c>
    </row>
    <row r="46" spans="1:13" x14ac:dyDescent="0.3">
      <c r="A46" s="17" t="s">
        <v>40</v>
      </c>
      <c r="B46" s="18">
        <f>B44+B45/12</f>
        <v>17850</v>
      </c>
    </row>
    <row r="47" spans="1:13" x14ac:dyDescent="0.3">
      <c r="A47" s="17" t="s">
        <v>41</v>
      </c>
      <c r="B47" s="18">
        <f>B46*12</f>
        <v>214200</v>
      </c>
    </row>
    <row r="48" spans="1:13" x14ac:dyDescent="0.3">
      <c r="A48" s="1" t="s">
        <v>42</v>
      </c>
      <c r="B48" s="16">
        <f>(B44+B45)*$B$8</f>
        <v>2856</v>
      </c>
    </row>
    <row r="49" spans="1:10" x14ac:dyDescent="0.3">
      <c r="A49" s="1" t="s">
        <v>43</v>
      </c>
      <c r="B49" s="16">
        <f>B44+B45</f>
        <v>17850</v>
      </c>
    </row>
    <row r="50" spans="1:10" x14ac:dyDescent="0.3">
      <c r="A50" s="1" t="s">
        <v>44</v>
      </c>
      <c r="B50" s="16">
        <f>$J$41</f>
        <v>8855</v>
      </c>
    </row>
    <row r="51" spans="1:10" x14ac:dyDescent="0.3">
      <c r="A51" s="17" t="s">
        <v>45</v>
      </c>
      <c r="B51" s="18">
        <f>B49-B50</f>
        <v>8995</v>
      </c>
    </row>
    <row r="52" spans="1:10" x14ac:dyDescent="0.3">
      <c r="A52" s="1" t="s">
        <v>46</v>
      </c>
      <c r="B52" s="19">
        <f>IFERROR(B50/B49,0)</f>
        <v>0.49607843137254903</v>
      </c>
    </row>
    <row r="53" spans="1:10" x14ac:dyDescent="0.3">
      <c r="A53" s="1" t="s">
        <v>47</v>
      </c>
      <c r="B53" s="19">
        <f>IFERROR(B51/B49,0)</f>
        <v>0.50392156862745097</v>
      </c>
    </row>
    <row r="54" spans="1:10" x14ac:dyDescent="0.3">
      <c r="A54" s="1"/>
      <c r="B54" s="1"/>
    </row>
    <row r="55" spans="1:10" x14ac:dyDescent="0.3">
      <c r="A55" s="23" t="s">
        <v>48</v>
      </c>
      <c r="B55" s="23"/>
      <c r="C55" s="23"/>
      <c r="D55" s="23"/>
      <c r="E55" s="23"/>
      <c r="F55" s="23"/>
      <c r="G55" s="23"/>
      <c r="H55" s="23"/>
      <c r="I55" s="23"/>
      <c r="J55" s="23"/>
    </row>
    <row r="57" spans="1:10" ht="15" customHeight="1" x14ac:dyDescent="0.3">
      <c r="A57" s="24" t="s">
        <v>49</v>
      </c>
      <c r="B57" s="24"/>
      <c r="C57" s="24"/>
      <c r="D57" s="24"/>
      <c r="E57" s="24"/>
      <c r="F57" s="24"/>
    </row>
    <row r="58" spans="1:10" x14ac:dyDescent="0.3">
      <c r="A58" s="23" t="s">
        <v>50</v>
      </c>
      <c r="B58" s="23"/>
      <c r="C58" s="23"/>
      <c r="D58" s="23"/>
      <c r="E58" s="23"/>
      <c r="F58" s="23"/>
    </row>
    <row r="59" spans="1:10" ht="26.4" x14ac:dyDescent="0.3">
      <c r="A59" s="3" t="s">
        <v>51</v>
      </c>
      <c r="B59" s="3" t="s">
        <v>52</v>
      </c>
      <c r="C59" s="3" t="s">
        <v>53</v>
      </c>
      <c r="D59" s="3" t="s">
        <v>8</v>
      </c>
      <c r="E59" s="3" t="s">
        <v>54</v>
      </c>
      <c r="F59" s="3" t="s">
        <v>55</v>
      </c>
    </row>
    <row r="60" spans="1:10" ht="28.8" x14ac:dyDescent="0.3">
      <c r="A60" s="4" t="s">
        <v>56</v>
      </c>
      <c r="B60" s="5">
        <v>15</v>
      </c>
      <c r="C60" s="20" t="str">
        <f>IFERROR(INDEX($F$6:$F$8,SUMPRODUCT((B60&gt;=$G$6:$G$8)*(B60&lt;=$H$6:$H$8)*ROW($G$6:$G$8))-6+1),"Sin tramo")</f>
        <v>1–24 nuevas licencias</v>
      </c>
      <c r="D60" s="10">
        <f>IFERROR(SUMPRODUCT((B60&gt;=$G$6:$G$8)*(B60&lt;=$H$6:$H$8)*$I$6:$I$8),0)</f>
        <v>0.3</v>
      </c>
      <c r="E60" s="11">
        <f>B60*$B$5</f>
        <v>5250</v>
      </c>
      <c r="F60" s="11">
        <f>E60*D60</f>
        <v>1575</v>
      </c>
    </row>
    <row r="61" spans="1:10" x14ac:dyDescent="0.3">
      <c r="A61" s="4" t="s">
        <v>57</v>
      </c>
      <c r="B61" s="5">
        <v>52</v>
      </c>
      <c r="C61" s="20" t="str">
        <f>IFERROR(INDEX($F$6:$F$8,SUMPRODUCT((B61&gt;=$G$6:$G$8)*(B61&lt;=$H$6:$H$8)*ROW($G$6:$G$8))-6+1),"Sin tramo")</f>
        <v>50+ nuevas licencias</v>
      </c>
      <c r="D61" s="10">
        <f>IFERROR(SUMPRODUCT((B61&gt;=$G$6:$G$8)*(B61&lt;=$H$6:$H$8)*$I$6:$I$8),0)</f>
        <v>0.5</v>
      </c>
      <c r="E61" s="11">
        <f>B61*$B$5</f>
        <v>18200</v>
      </c>
      <c r="F61" s="11">
        <f>E61*D61</f>
        <v>9100</v>
      </c>
    </row>
    <row r="62" spans="1:10" ht="28.8" x14ac:dyDescent="0.3">
      <c r="A62" s="4" t="s">
        <v>58</v>
      </c>
      <c r="B62" s="5">
        <v>24</v>
      </c>
      <c r="C62" s="20" t="str">
        <f>IFERROR(INDEX($F$6:$F$8,SUMPRODUCT((B62&gt;=$G$6:$G$8)*(B62&lt;=$H$6:$H$8)*ROW($G$6:$G$8))-6+1),"Sin tramo")</f>
        <v>1–24 nuevas licencias</v>
      </c>
      <c r="D62" s="10">
        <f>IFERROR(SUMPRODUCT((B62&gt;=$G$6:$G$8)*(B62&lt;=$H$6:$H$8)*$I$6:$I$8),0)</f>
        <v>0.3</v>
      </c>
      <c r="E62" s="11">
        <f>B62*$B$5</f>
        <v>8400</v>
      </c>
      <c r="F62" s="11">
        <f>E62*D62</f>
        <v>2520</v>
      </c>
    </row>
    <row r="63" spans="1:10" ht="28.8" x14ac:dyDescent="0.3">
      <c r="A63" s="4" t="s">
        <v>59</v>
      </c>
      <c r="B63" s="5">
        <v>10</v>
      </c>
      <c r="C63" s="20" t="str">
        <f>IFERROR(INDEX($F$6:$F$8,SUMPRODUCT((B63&gt;=$G$6:$G$8)*(B63&lt;=$H$6:$H$8)*ROW($G$6:$G$8))-6+1),"Sin tramo")</f>
        <v>1–24 nuevas licencias</v>
      </c>
      <c r="D63" s="10">
        <f>IFERROR(SUMPRODUCT((B63&gt;=$G$6:$G$8)*(B63&lt;=$H$6:$H$8)*$I$6:$I$8),0)</f>
        <v>0.3</v>
      </c>
      <c r="E63" s="11">
        <f>B63*$B$5</f>
        <v>3500</v>
      </c>
      <c r="F63" s="11">
        <f>E63*D63</f>
        <v>1050</v>
      </c>
    </row>
  </sheetData>
  <mergeCells count="11">
    <mergeCell ref="A58:F58"/>
    <mergeCell ref="A17:I17"/>
    <mergeCell ref="A19:K19"/>
    <mergeCell ref="A43:D43"/>
    <mergeCell ref="A55:J55"/>
    <mergeCell ref="A57:F57"/>
    <mergeCell ref="A1:J1"/>
    <mergeCell ref="A2:J2"/>
    <mergeCell ref="A4:D4"/>
    <mergeCell ref="F4:I4"/>
    <mergeCell ref="F10:I1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OptiSave Comercial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Diana Noemí Hernandez de Leon</cp:lastModifiedBy>
  <cp:revision>0</cp:revision>
  <dcterms:created xsi:type="dcterms:W3CDTF">2026-07-23T19:20:59Z</dcterms:created>
  <dcterms:modified xsi:type="dcterms:W3CDTF">2026-08-18T19:27:08Z</dcterms:modified>
  <dc:language>en-US</dc:language>
</cp:coreProperties>
</file>