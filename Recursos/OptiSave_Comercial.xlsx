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cion" sheetId="1" state="visible" r:id="rId3"/>
    <sheet name="Dashboard MRR" sheetId="2" state="visible" r:id="rId4"/>
    <sheet name="Comisiones Doctores" sheetId="3" state="visible" r:id="rId5"/>
    <sheet name="Comisiones Desktop" sheetId="4" state="visible" r:id="rId6"/>
    <sheet name="Bono Trimestr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<sst xmlns="http://schemas.openxmlformats.org/spreadsheetml/2006/main" count="88" uniqueCount="75">
  <si>
    <t xml:space="preserve">OPTISAVE — PANEL DE CONFIGURACIÓN COMERCIAL</t>
  </si>
  <si>
    <t xml:space="preserve">Modifica solo las celdas resaltadas en amarillo. El resto del archivo se recalcula solo.</t>
  </si>
  <si>
    <t xml:space="preserve">1. PRECIOS DE LICENCIA</t>
  </si>
  <si>
    <t xml:space="preserve">Precio licencia Doctor (mensual)</t>
  </si>
  <si>
    <t xml:space="preserve">Precio licencia Desktop (anual)</t>
  </si>
  <si>
    <t xml:space="preserve">Comisión fija Desktop (por licencia)</t>
  </si>
  <si>
    <t xml:space="preserve">IVA (México)</t>
  </si>
  <si>
    <t xml:space="preserve">2. COMISIONES DOCTOR (por tramo de licencias nuevas / mes, sobre 1er pago)</t>
  </si>
  <si>
    <t xml:space="preserve">Tramo (licencias nuevas/mes)</t>
  </si>
  <si>
    <t xml:space="preserve">Desde</t>
  </si>
  <si>
    <t xml:space="preserve">Hasta</t>
  </si>
  <si>
    <t xml:space="preserve">% Comisión (1er pago)</t>
  </si>
  <si>
    <t xml:space="preserve">1–24 nuevas licencias</t>
  </si>
  <si>
    <t xml:space="preserve">25–49 nuevas licencias</t>
  </si>
  <si>
    <t xml:space="preserve">50+ nuevas licencias</t>
  </si>
  <si>
    <t xml:space="preserve">3. BONO TRIMESTRAL DE PERMANENCIA (por doctores activos al cierre de trimestre)</t>
  </si>
  <si>
    <t xml:space="preserve">Tramo (doctores activos)</t>
  </si>
  <si>
    <t xml:space="preserve">Bono ($ MXN)</t>
  </si>
  <si>
    <t xml:space="preserve">1–24 doctores activos</t>
  </si>
  <si>
    <t xml:space="preserve">25–49 doctores activos</t>
  </si>
  <si>
    <t xml:space="preserve">50–99 doctores activos</t>
  </si>
  <si>
    <t xml:space="preserve">100+ doctores activos</t>
  </si>
  <si>
    <t xml:space="preserve">Nota: los tramos son por 'monto', no acumulables (no marginal). El % o bono aplica a todo el volumen del periodo según el tramo alcanzado.</t>
  </si>
  <si>
    <t xml:space="preserve">OPTISAVE — DASHBOARD MRR / ARR Y DECISIÓN COMERCIAL</t>
  </si>
  <si>
    <t xml:space="preserve">Este panel se alimenta automáticamente de las hojas de Comisiones y Bono. No requiere captura.</t>
  </si>
  <si>
    <t xml:space="preserve">INGRESOS (SIN IVA)</t>
  </si>
  <si>
    <t xml:space="preserve">MRR — Licencias Doctor (mes capturado)</t>
  </si>
  <si>
    <t xml:space="preserve">Ingreso Licencias Desktop (anual, mes capturado)</t>
  </si>
  <si>
    <t xml:space="preserve">Ingreso Desktop normalizado a mensual (÷12)</t>
  </si>
  <si>
    <t xml:space="preserve">MRR TOTAL (Doctor + Desktop/12)</t>
  </si>
  <si>
    <t xml:space="preserve">ARR ESTIMADO (MRR x 12)</t>
  </si>
  <si>
    <t xml:space="preserve">IVA (16%)</t>
  </si>
  <si>
    <t xml:space="preserve">IVA sobre licencias Doctor</t>
  </si>
  <si>
    <t xml:space="preserve">IVA sobre licencias Desktop</t>
  </si>
  <si>
    <t xml:space="preserve">IVA TOTAL a trasladar (informativo, no es ingreso)</t>
  </si>
  <si>
    <t xml:space="preserve">COSTO COMERCIAL (COMISIONES + BONO)</t>
  </si>
  <si>
    <t xml:space="preserve">Comisión pagada — Licencias Doctor</t>
  </si>
  <si>
    <t xml:space="preserve">Comisión pagada — Licencias Desktop</t>
  </si>
  <si>
    <t xml:space="preserve">Bono trimestral de permanencia</t>
  </si>
  <si>
    <t xml:space="preserve">TOTAL COSTO COMERCIAL</t>
  </si>
  <si>
    <t xml:space="preserve">RENTABILIDAD Y DECISIÓN</t>
  </si>
  <si>
    <t xml:space="preserve">Ingreso total del periodo (sin IVA)</t>
  </si>
  <si>
    <t xml:space="preserve">Utilidad neta (Ingreso − Costo comercial)</t>
  </si>
  <si>
    <t xml:space="preserve">% Costo comercial sobre ingreso</t>
  </si>
  <si>
    <t xml:space="preserve">% Margen neto sobre ingreso</t>
  </si>
  <si>
    <t xml:space="preserve">SEMÁFORO DE DECISIÓN (referencia)</t>
  </si>
  <si>
    <t xml:space="preserve">Margen neto ≥ 55% → Esquema saludable | 40–55% → Vigilar | &lt; 40% → Revisar comisiones/precio</t>
  </si>
  <si>
    <t xml:space="preserve">Fuente de cifras: hojas 'Comisiones Doctores', 'Comisiones Desktop' y 'Bono Trimestral'. Ajusta precios y % en 'Configuracion'.</t>
  </si>
  <si>
    <t xml:space="preserve">COMISIONES — LICENCIAS DOCTOR (MENSUAL, POR EJECUTIVO)</t>
  </si>
  <si>
    <t xml:space="preserve">Llena las columnas amarillas: Mes, Ejecutivo y # Licencias nuevas vendidas ese mes. El resto se calcula solo.</t>
  </si>
  <si>
    <t xml:space="preserve">Mes</t>
  </si>
  <si>
    <t xml:space="preserve">Ejecutivo Comercial</t>
  </si>
  <si>
    <t xml:space="preserve"># Licencias nuevas</t>
  </si>
  <si>
    <t xml:space="preserve">Precio licencia</t>
  </si>
  <si>
    <t xml:space="preserve">% Comisión aplicable</t>
  </si>
  <si>
    <t xml:space="preserve">Tramo alcanzado</t>
  </si>
  <si>
    <t xml:space="preserve">Ingreso 1er pago (sin IVA)</t>
  </si>
  <si>
    <t xml:space="preserve">Comisión ($)</t>
  </si>
  <si>
    <t xml:space="preserve">IVA de licencias (16%)</t>
  </si>
  <si>
    <t xml:space="preserve">Ene-2026</t>
  </si>
  <si>
    <t xml:space="preserve">Ana Torres</t>
  </si>
  <si>
    <t xml:space="preserve">Luis Medina</t>
  </si>
  <si>
    <t xml:space="preserve">TOTALES</t>
  </si>
  <si>
    <t xml:space="preserve">COMISIONES — LICENCIA DESKTOP (ANUAL)</t>
  </si>
  <si>
    <t xml:space="preserve">Llena Mes, Ejecutivo y # Licencias Desktop vendidas. Comisión fija por licencia (Configuración).</t>
  </si>
  <si>
    <t xml:space="preserve"># Licencias Desktop</t>
  </si>
  <si>
    <t xml:space="preserve">Precio licencia (anual)</t>
  </si>
  <si>
    <t xml:space="preserve">Ingreso (sin IVA)</t>
  </si>
  <si>
    <t xml:space="preserve">Comisión ($ fija/licencia)</t>
  </si>
  <si>
    <t xml:space="preserve">BONO TRIMESTRAL DE PERMANENCIA</t>
  </si>
  <si>
    <t xml:space="preserve">Llena Trimestre, Ejecutivo y # Doctores activos (con licencia vigente) al cierre del trimestre.</t>
  </si>
  <si>
    <t xml:space="preserve">Trimestre</t>
  </si>
  <si>
    <t xml:space="preserve"># Doctores activos</t>
  </si>
  <si>
    <t xml:space="preserve">Q1-2026</t>
  </si>
  <si>
    <t xml:space="preserve">TOTAL BONOS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</si>
</sst>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0" t="s">
        <v>3</v>
      </c>
      <c r="B5" s="4" t="n">
        <v>250</v>
      </c>
    </row>
    <row r="6" customFormat="false" ht="15" hidden="false" customHeight="false" outlineLevel="0" collapsed="false">
      <c r="A6" s="0" t="s">
        <v>4</v>
      </c>
      <c r="B6" s="4" t="n">
        <v>4500</v>
      </c>
    </row>
    <row r="7" customFormat="false" ht="15" hidden="false" customHeight="false" outlineLevel="0" collapsed="false">
      <c r="A7" s="0" t="s">
        <v>5</v>
      </c>
      <c r="B7" s="4" t="n">
        <v>1000</v>
      </c>
    </row>
    <row r="8" customFormat="false" ht="15" hidden="false" customHeight="false" outlineLevel="0" collapsed="false">
      <c r="A8" s="0" t="s">
        <v>6</v>
      </c>
      <c r="B8" s="5" t="n">
        <v>0.16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</row>
    <row r="11" customFormat="false" ht="23.85" hidden="false" customHeight="false" outlineLevel="0" collapsed="false">
      <c r="A11" s="6" t="s">
        <v>8</v>
      </c>
      <c r="B11" s="6" t="s">
        <v>9</v>
      </c>
      <c r="C11" s="6" t="s">
        <v>10</v>
      </c>
      <c r="D11" s="6" t="s">
        <v>11</v>
      </c>
    </row>
    <row r="12" customFormat="false" ht="15" hidden="false" customHeight="false" outlineLevel="0" collapsed="false">
      <c r="A12" s="7" t="s">
        <v>12</v>
      </c>
      <c r="B12" s="8" t="n">
        <v>1</v>
      </c>
      <c r="C12" s="8" t="n">
        <v>24</v>
      </c>
      <c r="D12" s="9" t="n">
        <v>0.3</v>
      </c>
    </row>
    <row r="13" customFormat="false" ht="15" hidden="false" customHeight="false" outlineLevel="0" collapsed="false">
      <c r="A13" s="7" t="s">
        <v>13</v>
      </c>
      <c r="B13" s="8" t="n">
        <v>25</v>
      </c>
      <c r="C13" s="8" t="n">
        <v>49</v>
      </c>
      <c r="D13" s="9" t="n">
        <v>0.4</v>
      </c>
    </row>
    <row r="14" customFormat="false" ht="15" hidden="false" customHeight="false" outlineLevel="0" collapsed="false">
      <c r="A14" s="7" t="s">
        <v>14</v>
      </c>
      <c r="B14" s="8" t="n">
        <v>50</v>
      </c>
      <c r="C14" s="8" t="n">
        <v>9999</v>
      </c>
      <c r="D14" s="9" t="n">
        <v>0.5</v>
      </c>
    </row>
    <row r="16" customFormat="false" ht="15" hidden="false" customHeight="false" outlineLevel="0" collapsed="false">
      <c r="A16" s="3" t="s">
        <v>15</v>
      </c>
      <c r="B16" s="3"/>
      <c r="C16" s="3"/>
      <c r="D16" s="3"/>
      <c r="E16" s="3"/>
    </row>
    <row r="17" customFormat="false" ht="15" hidden="false" customHeight="false" outlineLevel="0" collapsed="false">
      <c r="A17" s="6" t="s">
        <v>16</v>
      </c>
      <c r="B17" s="6" t="s">
        <v>9</v>
      </c>
      <c r="C17" s="6" t="s">
        <v>10</v>
      </c>
      <c r="D17" s="6" t="s">
        <v>17</v>
      </c>
    </row>
    <row r="18" customFormat="false" ht="15" hidden="false" customHeight="false" outlineLevel="0" collapsed="false">
      <c r="A18" s="7" t="s">
        <v>18</v>
      </c>
      <c r="B18" s="8" t="n">
        <v>1</v>
      </c>
      <c r="C18" s="8" t="n">
        <v>24</v>
      </c>
      <c r="D18" s="10" t="n">
        <v>1500</v>
      </c>
    </row>
    <row r="19" customFormat="false" ht="15" hidden="false" customHeight="false" outlineLevel="0" collapsed="false">
      <c r="A19" s="7" t="s">
        <v>19</v>
      </c>
      <c r="B19" s="8" t="n">
        <v>25</v>
      </c>
      <c r="C19" s="8" t="n">
        <v>49</v>
      </c>
      <c r="D19" s="10" t="n">
        <v>4000</v>
      </c>
    </row>
    <row r="20" customFormat="false" ht="15" hidden="false" customHeight="false" outlineLevel="0" collapsed="false">
      <c r="A20" s="7" t="s">
        <v>20</v>
      </c>
      <c r="B20" s="8" t="n">
        <v>50</v>
      </c>
      <c r="C20" s="8" t="n">
        <v>99</v>
      </c>
      <c r="D20" s="10" t="n">
        <v>9000</v>
      </c>
    </row>
    <row r="21" customFormat="false" ht="15" hidden="false" customHeight="false" outlineLevel="0" collapsed="false">
      <c r="A21" s="7" t="s">
        <v>21</v>
      </c>
      <c r="B21" s="8" t="n">
        <v>100</v>
      </c>
      <c r="C21" s="8" t="n">
        <v>99999</v>
      </c>
      <c r="D21" s="10" t="n">
        <v>20000</v>
      </c>
    </row>
    <row r="23" customFormat="false" ht="27.75" hidden="false" customHeight="true" outlineLevel="0" collapsed="false">
      <c r="A23" s="11" t="s">
        <v>22</v>
      </c>
      <c r="B23" s="11"/>
      <c r="C23" s="11"/>
      <c r="D23" s="11"/>
      <c r="E23" s="11"/>
    </row>
  </sheetData>
  <mergeCells count="6">
    <mergeCell ref="A1:E1"/>
    <mergeCell ref="A2:E2"/>
    <mergeCell ref="A4:E4"/>
    <mergeCell ref="A10:E10"/>
    <mergeCell ref="A16:E16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</row>
    <row r="2" customFormat="false" ht="15" hidden="false" customHeight="false" outlineLevel="0" collapsed="false">
      <c r="A2" s="2" t="s">
        <v>24</v>
      </c>
      <c r="B2" s="2"/>
      <c r="C2" s="2"/>
      <c r="D2" s="2"/>
    </row>
    <row r="4" customFormat="false" ht="15" hidden="false" customHeight="false" outlineLevel="0" collapsed="false">
      <c r="A4" s="3" t="s">
        <v>25</v>
      </c>
      <c r="B4" s="3"/>
      <c r="C4" s="3"/>
      <c r="D4" s="3"/>
    </row>
    <row r="5" customFormat="false" ht="15" hidden="false" customHeight="false" outlineLevel="0" collapsed="false">
      <c r="A5" s="0" t="s">
        <v>26</v>
      </c>
      <c r="B5" s="12" t="n">
        <f aca="false">'Comisiones Doctores'!$G$30</f>
        <v>12000</v>
      </c>
    </row>
    <row r="6" customFormat="false" ht="15" hidden="false" customHeight="false" outlineLevel="0" collapsed="false">
      <c r="A6" s="0" t="s">
        <v>27</v>
      </c>
      <c r="B6" s="12" t="n">
        <f aca="false">'Comisiones Desktop'!$E$30</f>
        <v>13500</v>
      </c>
    </row>
    <row r="7" customFormat="false" ht="15" hidden="false" customHeight="false" outlineLevel="0" collapsed="false">
      <c r="A7" s="0" t="s">
        <v>28</v>
      </c>
      <c r="B7" s="12" t="n">
        <f aca="false">B6/12</f>
        <v>1125</v>
      </c>
    </row>
    <row r="8" customFormat="false" ht="15" hidden="false" customHeight="false" outlineLevel="0" collapsed="false">
      <c r="A8" s="13" t="s">
        <v>29</v>
      </c>
      <c r="B8" s="14" t="n">
        <f aca="false">B5+B7</f>
        <v>13125</v>
      </c>
    </row>
    <row r="9" customFormat="false" ht="15" hidden="false" customHeight="false" outlineLevel="0" collapsed="false">
      <c r="A9" s="13" t="s">
        <v>30</v>
      </c>
      <c r="B9" s="14" t="n">
        <f aca="false">B8*12</f>
        <v>157500</v>
      </c>
    </row>
    <row r="11" customFormat="false" ht="15" hidden="false" customHeight="false" outlineLevel="0" collapsed="false">
      <c r="A11" s="3" t="s">
        <v>31</v>
      </c>
      <c r="B11" s="3"/>
      <c r="C11" s="3"/>
      <c r="D11" s="3"/>
    </row>
    <row r="12" customFormat="false" ht="15" hidden="false" customHeight="false" outlineLevel="0" collapsed="false">
      <c r="A12" s="0" t="s">
        <v>32</v>
      </c>
      <c r="B12" s="12" t="n">
        <f aca="false">'Comisiones Doctores'!$I$30</f>
        <v>1920</v>
      </c>
    </row>
    <row r="13" customFormat="false" ht="15" hidden="false" customHeight="false" outlineLevel="0" collapsed="false">
      <c r="A13" s="0" t="s">
        <v>33</v>
      </c>
      <c r="B13" s="12" t="n">
        <f aca="false">'Comisiones Desktop'!$G$30</f>
        <v>2160</v>
      </c>
    </row>
    <row r="14" customFormat="false" ht="15" hidden="false" customHeight="false" outlineLevel="0" collapsed="false">
      <c r="A14" s="15" t="s">
        <v>34</v>
      </c>
      <c r="B14" s="12" t="n">
        <f aca="false">B13+B12</f>
        <v>4080</v>
      </c>
    </row>
    <row r="16" customFormat="false" ht="15" hidden="false" customHeight="false" outlineLevel="0" collapsed="false">
      <c r="A16" s="3" t="s">
        <v>35</v>
      </c>
      <c r="B16" s="3"/>
      <c r="C16" s="3"/>
      <c r="D16" s="3"/>
    </row>
    <row r="17" customFormat="false" ht="15" hidden="false" customHeight="false" outlineLevel="0" collapsed="false">
      <c r="A17" s="0" t="s">
        <v>36</v>
      </c>
      <c r="B17" s="12" t="n">
        <f aca="false">'Comisiones Doctores'!$H$30</f>
        <v>4350</v>
      </c>
    </row>
    <row r="18" customFormat="false" ht="15" hidden="false" customHeight="false" outlineLevel="0" collapsed="false">
      <c r="A18" s="0" t="s">
        <v>37</v>
      </c>
      <c r="B18" s="12" t="n">
        <f aca="false">'Comisiones Desktop'!$F$30</f>
        <v>3000</v>
      </c>
    </row>
    <row r="19" customFormat="false" ht="15" hidden="false" customHeight="false" outlineLevel="0" collapsed="false">
      <c r="A19" s="0" t="s">
        <v>38</v>
      </c>
      <c r="B19" s="12" t="n">
        <f aca="false">'Bono Trimestral'!$E$22</f>
        <v>4000</v>
      </c>
    </row>
    <row r="20" customFormat="false" ht="15" hidden="false" customHeight="false" outlineLevel="0" collapsed="false">
      <c r="A20" s="13" t="s">
        <v>39</v>
      </c>
      <c r="B20" s="14" t="n">
        <f aca="false">B17+B18+B19</f>
        <v>11350</v>
      </c>
    </row>
    <row r="22" customFormat="false" ht="15" hidden="false" customHeight="false" outlineLevel="0" collapsed="false">
      <c r="A22" s="3" t="s">
        <v>40</v>
      </c>
      <c r="B22" s="3"/>
      <c r="C22" s="3"/>
      <c r="D22" s="3"/>
    </row>
    <row r="23" customFormat="false" ht="15" hidden="false" customHeight="false" outlineLevel="0" collapsed="false">
      <c r="A23" s="0" t="s">
        <v>41</v>
      </c>
      <c r="B23" s="12" t="n">
        <f aca="false">'Comisiones Doctores'!$G$30+'Comisiones Desktop'!$E$30</f>
        <v>25500</v>
      </c>
    </row>
    <row r="24" customFormat="false" ht="15" hidden="false" customHeight="false" outlineLevel="0" collapsed="false">
      <c r="A24" s="13" t="s">
        <v>42</v>
      </c>
      <c r="B24" s="14" t="n">
        <f aca="false">B23-B20</f>
        <v>14150</v>
      </c>
    </row>
    <row r="25" customFormat="false" ht="15" hidden="false" customHeight="false" outlineLevel="0" collapsed="false">
      <c r="A25" s="0" t="s">
        <v>43</v>
      </c>
      <c r="B25" s="16" t="n">
        <f aca="false">IFERROR(B20/B23,0)</f>
        <v>0.445098039215686</v>
      </c>
    </row>
    <row r="26" customFormat="false" ht="15" hidden="false" customHeight="false" outlineLevel="0" collapsed="false">
      <c r="A26" s="0" t="s">
        <v>44</v>
      </c>
      <c r="B26" s="16" t="n">
        <f aca="false">IFERROR(B24/B23,0)</f>
        <v>0.554901960784314</v>
      </c>
    </row>
    <row r="28" customFormat="false" ht="15" hidden="false" customHeight="false" outlineLevel="0" collapsed="false">
      <c r="A28" s="17" t="s">
        <v>45</v>
      </c>
      <c r="B28" s="17"/>
      <c r="C28" s="17"/>
      <c r="D28" s="17"/>
    </row>
    <row r="29" customFormat="false" ht="15" hidden="false" customHeight="false" outlineLevel="0" collapsed="false">
      <c r="A29" s="2" t="s">
        <v>46</v>
      </c>
      <c r="B29" s="2"/>
      <c r="C29" s="2"/>
      <c r="D29" s="2"/>
    </row>
    <row r="31" customFormat="false" ht="15" hidden="false" customHeight="false" outlineLevel="0" collapsed="false">
      <c r="A31" s="2" t="s">
        <v>47</v>
      </c>
      <c r="B31" s="2"/>
      <c r="C31" s="2"/>
      <c r="D31" s="2"/>
    </row>
  </sheetData>
  <mergeCells count="9">
    <mergeCell ref="A1:D1"/>
    <mergeCell ref="A2:D2"/>
    <mergeCell ref="A4:D4"/>
    <mergeCell ref="A11:D11"/>
    <mergeCell ref="A16:D16"/>
    <mergeCell ref="A22:D22"/>
    <mergeCell ref="A28:D28"/>
    <mergeCell ref="A29:D29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8" min="7" style="0" width="18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6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58</v>
      </c>
    </row>
    <row r="5" customFormat="false" ht="28.35" hidden="false" customHeight="false" outlineLevel="0" collapsed="false">
      <c r="A5" s="18" t="s">
        <v>59</v>
      </c>
      <c r="B5" s="19" t="s">
        <v>60</v>
      </c>
      <c r="C5" s="18" t="n">
        <v>18</v>
      </c>
      <c r="D5" s="20" t="n">
        <f aca="false">Configuracion!$B$5</f>
        <v>250</v>
      </c>
      <c r="E5" s="21" t="n">
        <f aca="false">IF(C5="","",INDEX(Configuracion!$D$12:$D$14,MATCH(C5,Configuracion!$B$12:$B$14,1)))</f>
        <v>0.3</v>
      </c>
      <c r="F5" s="22" t="str">
        <f aca="false">IF(C5="","",INDEX(Configuracion!$A$12:$A$14,MATCH(C5,Configuracion!$B$12:$B$14,1)))</f>
        <v>1–24 nuevas licencias</v>
      </c>
      <c r="G5" s="20" t="n">
        <f aca="false">IF(C5="","",C5*D5)</f>
        <v>4500</v>
      </c>
      <c r="H5" s="20" t="n">
        <f aca="false">IF(C5="","",G5*E5)</f>
        <v>1350</v>
      </c>
      <c r="I5" s="20" t="n">
        <f aca="false">IF(C5="","",G5*Configuracion!$B$8)</f>
        <v>720</v>
      </c>
    </row>
    <row r="6" customFormat="false" ht="28.35" hidden="false" customHeight="false" outlineLevel="0" collapsed="false">
      <c r="A6" s="18" t="s">
        <v>59</v>
      </c>
      <c r="B6" s="19" t="s">
        <v>61</v>
      </c>
      <c r="C6" s="18" t="n">
        <v>30</v>
      </c>
      <c r="D6" s="20" t="n">
        <f aca="false">Configuracion!$B$5</f>
        <v>250</v>
      </c>
      <c r="E6" s="21" t="n">
        <f aca="false">IF(C6="","",INDEX(Configuracion!$D$12:$D$14,MATCH(C6,Configuracion!$B$12:$B$14,1)))</f>
        <v>0.4</v>
      </c>
      <c r="F6" s="22" t="str">
        <f aca="false">IF(C6="","",INDEX(Configuracion!$A$12:$A$14,MATCH(C6,Configuracion!$B$12:$B$14,1)))</f>
        <v>25–49 nuevas licencias</v>
      </c>
      <c r="G6" s="20" t="n">
        <f aca="false">IF(C6="","",C6*D6)</f>
        <v>7500</v>
      </c>
      <c r="H6" s="20" t="n">
        <f aca="false">IF(C6="","",G6*E6)</f>
        <v>3000</v>
      </c>
      <c r="I6" s="20" t="n">
        <f aca="false">IF(C6="","",G6*Configuracion!$B$8)</f>
        <v>1200</v>
      </c>
    </row>
    <row r="7" customFormat="false" ht="15" hidden="false" customHeight="false" outlineLevel="0" collapsed="false">
      <c r="A7" s="18"/>
      <c r="B7" s="19"/>
      <c r="C7" s="18"/>
      <c r="D7" s="20" t="n">
        <f aca="false">Configuracion!$B$5</f>
        <v>250</v>
      </c>
      <c r="E7" s="21" t="str">
        <f aca="false">IF(C7="","",INDEX(Configuracion!$D$12:$D$14,MATCH(C7,Configuracion!$B$12:$B$14,1)))</f>
        <v/>
      </c>
      <c r="F7" s="22" t="str">
        <f aca="false">IF(C7="","",INDEX(Configuracion!$A$12:$A$14,MATCH(C7,Configuracion!$B$12:$B$14,1)))</f>
        <v/>
      </c>
      <c r="G7" s="20" t="str">
        <f aca="false">IF(C7="","",C7*D7)</f>
        <v/>
      </c>
      <c r="H7" s="20" t="str">
        <f aca="false">IF(C7="","",G7*E7)</f>
        <v/>
      </c>
      <c r="I7" s="20" t="str">
        <f aca="false">IF(C7="","",G7*Configuracion!$B$8)</f>
        <v/>
      </c>
    </row>
    <row r="8" customFormat="false" ht="15" hidden="false" customHeight="false" outlineLevel="0" collapsed="false">
      <c r="A8" s="18"/>
      <c r="B8" s="19"/>
      <c r="C8" s="18"/>
      <c r="D8" s="20" t="n">
        <f aca="false">Configuracion!$B$5</f>
        <v>250</v>
      </c>
      <c r="E8" s="21" t="str">
        <f aca="false">IF(C8="","",INDEX(Configuracion!$D$12:$D$14,MATCH(C8,Configuracion!$B$12:$B$14,1)))</f>
        <v/>
      </c>
      <c r="F8" s="22" t="str">
        <f aca="false">IF(C8="","",INDEX(Configuracion!$A$12:$A$14,MATCH(C8,Configuracion!$B$12:$B$14,1)))</f>
        <v/>
      </c>
      <c r="G8" s="20" t="str">
        <f aca="false">IF(C8="","",C8*D8)</f>
        <v/>
      </c>
      <c r="H8" s="20" t="str">
        <f aca="false">IF(C8="","",G8*E8)</f>
        <v/>
      </c>
      <c r="I8" s="20" t="str">
        <f aca="false">IF(C8="","",G8*Configuracion!$B$8)</f>
        <v/>
      </c>
    </row>
    <row r="9" customFormat="false" ht="15" hidden="false" customHeight="false" outlineLevel="0" collapsed="false">
      <c r="A9" s="18"/>
      <c r="B9" s="19"/>
      <c r="C9" s="18"/>
      <c r="D9" s="20" t="n">
        <f aca="false">Configuracion!$B$5</f>
        <v>250</v>
      </c>
      <c r="E9" s="21" t="str">
        <f aca="false">IF(C9="","",INDEX(Configuracion!$D$12:$D$14,MATCH(C9,Configuracion!$B$12:$B$14,1)))</f>
        <v/>
      </c>
      <c r="F9" s="22" t="str">
        <f aca="false">IF(C9="","",INDEX(Configuracion!$A$12:$A$14,MATCH(C9,Configuracion!$B$12:$B$14,1)))</f>
        <v/>
      </c>
      <c r="G9" s="20" t="str">
        <f aca="false">IF(C9="","",C9*D9)</f>
        <v/>
      </c>
      <c r="H9" s="20" t="str">
        <f aca="false">IF(C9="","",G9*E9)</f>
        <v/>
      </c>
      <c r="I9" s="20" t="str">
        <f aca="false">IF(C9="","",G9*Configuracion!$B$8)</f>
        <v/>
      </c>
    </row>
    <row r="10" customFormat="false" ht="15" hidden="false" customHeight="false" outlineLevel="0" collapsed="false">
      <c r="A10" s="18"/>
      <c r="B10" s="19"/>
      <c r="C10" s="18"/>
      <c r="D10" s="20" t="n">
        <f aca="false">Configuracion!$B$5</f>
        <v>250</v>
      </c>
      <c r="E10" s="21" t="str">
        <f aca="false">IF(C10="","",INDEX(Configuracion!$D$12:$D$14,MATCH(C10,Configuracion!$B$12:$B$14,1)))</f>
        <v/>
      </c>
      <c r="F10" s="22" t="str">
        <f aca="false">IF(C10="","",INDEX(Configuracion!$A$12:$A$14,MATCH(C10,Configuracion!$B$12:$B$14,1)))</f>
        <v/>
      </c>
      <c r="G10" s="20" t="str">
        <f aca="false">IF(C10="","",C10*D10)</f>
        <v/>
      </c>
      <c r="H10" s="20" t="str">
        <f aca="false">IF(C10="","",G10*E10)</f>
        <v/>
      </c>
      <c r="I10" s="20" t="str">
        <f aca="false">IF(C10="","",G10*Configuracion!$B$8)</f>
        <v/>
      </c>
    </row>
    <row r="11" customFormat="false" ht="15" hidden="false" customHeight="false" outlineLevel="0" collapsed="false">
      <c r="A11" s="18"/>
      <c r="B11" s="19"/>
      <c r="C11" s="18"/>
      <c r="D11" s="20" t="n">
        <f aca="false">Configuracion!$B$5</f>
        <v>250</v>
      </c>
      <c r="E11" s="21" t="str">
        <f aca="false">IF(C11="","",INDEX(Configuracion!$D$12:$D$14,MATCH(C11,Configuracion!$B$12:$B$14,1)))</f>
        <v/>
      </c>
      <c r="F11" s="22" t="str">
        <f aca="false">IF(C11="","",INDEX(Configuracion!$A$12:$A$14,MATCH(C11,Configuracion!$B$12:$B$14,1)))</f>
        <v/>
      </c>
      <c r="G11" s="20" t="str">
        <f aca="false">IF(C11="","",C11*D11)</f>
        <v/>
      </c>
      <c r="H11" s="20" t="str">
        <f aca="false">IF(C11="","",G11*E11)</f>
        <v/>
      </c>
      <c r="I11" s="20" t="str">
        <f aca="false">IF(C11="","",G11*Configuracion!$B$8)</f>
        <v/>
      </c>
    </row>
    <row r="12" customFormat="false" ht="15" hidden="false" customHeight="false" outlineLevel="0" collapsed="false">
      <c r="A12" s="18"/>
      <c r="B12" s="19"/>
      <c r="C12" s="18"/>
      <c r="D12" s="20" t="n">
        <f aca="false">Configuracion!$B$5</f>
        <v>250</v>
      </c>
      <c r="E12" s="21" t="str">
        <f aca="false">IF(C12="","",INDEX(Configuracion!$D$12:$D$14,MATCH(C12,Configuracion!$B$12:$B$14,1)))</f>
        <v/>
      </c>
      <c r="F12" s="22" t="str">
        <f aca="false">IF(C12="","",INDEX(Configuracion!$A$12:$A$14,MATCH(C12,Configuracion!$B$12:$B$14,1)))</f>
        <v/>
      </c>
      <c r="G12" s="20" t="str">
        <f aca="false">IF(C12="","",C12*D12)</f>
        <v/>
      </c>
      <c r="H12" s="20" t="str">
        <f aca="false">IF(C12="","",G12*E12)</f>
        <v/>
      </c>
      <c r="I12" s="20" t="str">
        <f aca="false">IF(C12="","",G12*Configuracion!$B$8)</f>
        <v/>
      </c>
    </row>
    <row r="13" customFormat="false" ht="15" hidden="false" customHeight="false" outlineLevel="0" collapsed="false">
      <c r="A13" s="18"/>
      <c r="B13" s="19"/>
      <c r="C13" s="18"/>
      <c r="D13" s="20" t="n">
        <f aca="false">Configuracion!$B$5</f>
        <v>250</v>
      </c>
      <c r="E13" s="21" t="str">
        <f aca="false">IF(C13="","",INDEX(Configuracion!$D$12:$D$14,MATCH(C13,Configuracion!$B$12:$B$14,1)))</f>
        <v/>
      </c>
      <c r="F13" s="22" t="str">
        <f aca="false">IF(C13="","",INDEX(Configuracion!$A$12:$A$14,MATCH(C13,Configuracion!$B$12:$B$14,1)))</f>
        <v/>
      </c>
      <c r="G13" s="20" t="str">
        <f aca="false">IF(C13="","",C13*D13)</f>
        <v/>
      </c>
      <c r="H13" s="20" t="str">
        <f aca="false">IF(C13="","",G13*E13)</f>
        <v/>
      </c>
      <c r="I13" s="20" t="str">
        <f aca="false">IF(C13="","",G13*Configuracion!$B$8)</f>
        <v/>
      </c>
    </row>
    <row r="14" customFormat="false" ht="15" hidden="false" customHeight="false" outlineLevel="0" collapsed="false">
      <c r="A14" s="18"/>
      <c r="B14" s="19"/>
      <c r="C14" s="18"/>
      <c r="D14" s="20" t="n">
        <f aca="false">Configuracion!$B$5</f>
        <v>250</v>
      </c>
      <c r="E14" s="21" t="str">
        <f aca="false">IF(C14="","",INDEX(Configuracion!$D$12:$D$14,MATCH(C14,Configuracion!$B$12:$B$14,1)))</f>
        <v/>
      </c>
      <c r="F14" s="22" t="str">
        <f aca="false">IF(C14="","",INDEX(Configuracion!$A$12:$A$14,MATCH(C14,Configuracion!$B$12:$B$14,1)))</f>
        <v/>
      </c>
      <c r="G14" s="20" t="str">
        <f aca="false">IF(C14="","",C14*D14)</f>
        <v/>
      </c>
      <c r="H14" s="20" t="str">
        <f aca="false">IF(C14="","",G14*E14)</f>
        <v/>
      </c>
      <c r="I14" s="20" t="str">
        <f aca="false">IF(C14="","",G14*Configuracion!$B$8)</f>
        <v/>
      </c>
    </row>
    <row r="15" customFormat="false" ht="15" hidden="false" customHeight="false" outlineLevel="0" collapsed="false">
      <c r="A15" s="18"/>
      <c r="B15" s="19"/>
      <c r="C15" s="18"/>
      <c r="D15" s="20" t="n">
        <f aca="false">Configuracion!$B$5</f>
        <v>250</v>
      </c>
      <c r="E15" s="21" t="str">
        <f aca="false">IF(C15="","",INDEX(Configuracion!$D$12:$D$14,MATCH(C15,Configuracion!$B$12:$B$14,1)))</f>
        <v/>
      </c>
      <c r="F15" s="22" t="str">
        <f aca="false">IF(C15="","",INDEX(Configuracion!$A$12:$A$14,MATCH(C15,Configuracion!$B$12:$B$14,1)))</f>
        <v/>
      </c>
      <c r="G15" s="20" t="str">
        <f aca="false">IF(C15="","",C15*D15)</f>
        <v/>
      </c>
      <c r="H15" s="20" t="str">
        <f aca="false">IF(C15="","",G15*E15)</f>
        <v/>
      </c>
      <c r="I15" s="20" t="str">
        <f aca="false">IF(C15="","",G15*Configuracion!$B$8)</f>
        <v/>
      </c>
    </row>
    <row r="16" customFormat="false" ht="15" hidden="false" customHeight="false" outlineLevel="0" collapsed="false">
      <c r="A16" s="18"/>
      <c r="B16" s="19"/>
      <c r="C16" s="18"/>
      <c r="D16" s="20" t="n">
        <f aca="false">Configuracion!$B$5</f>
        <v>250</v>
      </c>
      <c r="E16" s="21" t="str">
        <f aca="false">IF(C16="","",INDEX(Configuracion!$D$12:$D$14,MATCH(C16,Configuracion!$B$12:$B$14,1)))</f>
        <v/>
      </c>
      <c r="F16" s="22" t="str">
        <f aca="false">IF(C16="","",INDEX(Configuracion!$A$12:$A$14,MATCH(C16,Configuracion!$B$12:$B$14,1)))</f>
        <v/>
      </c>
      <c r="G16" s="20" t="str">
        <f aca="false">IF(C16="","",C16*D16)</f>
        <v/>
      </c>
      <c r="H16" s="20" t="str">
        <f aca="false">IF(C16="","",G16*E16)</f>
        <v/>
      </c>
      <c r="I16" s="20" t="str">
        <f aca="false">IF(C16="","",G16*Configuracion!$B$8)</f>
        <v/>
      </c>
    </row>
    <row r="17" customFormat="false" ht="15" hidden="false" customHeight="false" outlineLevel="0" collapsed="false">
      <c r="A17" s="18"/>
      <c r="B17" s="19"/>
      <c r="C17" s="18"/>
      <c r="D17" s="20" t="n">
        <f aca="false">Configuracion!$B$5</f>
        <v>250</v>
      </c>
      <c r="E17" s="21" t="str">
        <f aca="false">IF(C17="","",INDEX(Configuracion!$D$12:$D$14,MATCH(C17,Configuracion!$B$12:$B$14,1)))</f>
        <v/>
      </c>
      <c r="F17" s="22" t="str">
        <f aca="false">IF(C17="","",INDEX(Configuracion!$A$12:$A$14,MATCH(C17,Configuracion!$B$12:$B$14,1)))</f>
        <v/>
      </c>
      <c r="G17" s="20" t="str">
        <f aca="false">IF(C17="","",C17*D17)</f>
        <v/>
      </c>
      <c r="H17" s="20" t="str">
        <f aca="false">IF(C17="","",G17*E17)</f>
        <v/>
      </c>
      <c r="I17" s="20" t="str">
        <f aca="false">IF(C17="","",G17*Configuracion!$B$8)</f>
        <v/>
      </c>
    </row>
    <row r="18" customFormat="false" ht="15" hidden="false" customHeight="false" outlineLevel="0" collapsed="false">
      <c r="A18" s="18"/>
      <c r="B18" s="19"/>
      <c r="C18" s="18"/>
      <c r="D18" s="20" t="n">
        <f aca="false">Configuracion!$B$5</f>
        <v>250</v>
      </c>
      <c r="E18" s="21" t="str">
        <f aca="false">IF(C18="","",INDEX(Configuracion!$D$12:$D$14,MATCH(C18,Configuracion!$B$12:$B$14,1)))</f>
        <v/>
      </c>
      <c r="F18" s="22" t="str">
        <f aca="false">IF(C18="","",INDEX(Configuracion!$A$12:$A$14,MATCH(C18,Configuracion!$B$12:$B$14,1)))</f>
        <v/>
      </c>
      <c r="G18" s="20" t="str">
        <f aca="false">IF(C18="","",C18*D18)</f>
        <v/>
      </c>
      <c r="H18" s="20" t="str">
        <f aca="false">IF(C18="","",G18*E18)</f>
        <v/>
      </c>
      <c r="I18" s="20" t="str">
        <f aca="false">IF(C18="","",G18*Configuracion!$B$8)</f>
        <v/>
      </c>
    </row>
    <row r="19" customFormat="false" ht="15" hidden="false" customHeight="false" outlineLevel="0" collapsed="false">
      <c r="A19" s="18"/>
      <c r="B19" s="19"/>
      <c r="C19" s="18"/>
      <c r="D19" s="20" t="n">
        <f aca="false">Configuracion!$B$5</f>
        <v>250</v>
      </c>
      <c r="E19" s="21" t="str">
        <f aca="false">IF(C19="","",INDEX(Configuracion!$D$12:$D$14,MATCH(C19,Configuracion!$B$12:$B$14,1)))</f>
        <v/>
      </c>
      <c r="F19" s="22" t="str">
        <f aca="false">IF(C19="","",INDEX(Configuracion!$A$12:$A$14,MATCH(C19,Configuracion!$B$12:$B$14,1)))</f>
        <v/>
      </c>
      <c r="G19" s="20" t="str">
        <f aca="false">IF(C19="","",C19*D19)</f>
        <v/>
      </c>
      <c r="H19" s="20" t="str">
        <f aca="false">IF(C19="","",G19*E19)</f>
        <v/>
      </c>
      <c r="I19" s="20" t="str">
        <f aca="false">IF(C19="","",G19*Configuracion!$B$8)</f>
        <v/>
      </c>
    </row>
    <row r="20" customFormat="false" ht="15" hidden="false" customHeight="false" outlineLevel="0" collapsed="false">
      <c r="A20" s="18"/>
      <c r="B20" s="19"/>
      <c r="C20" s="18"/>
      <c r="D20" s="20" t="n">
        <f aca="false">Configuracion!$B$5</f>
        <v>250</v>
      </c>
      <c r="E20" s="21" t="str">
        <f aca="false">IF(C20="","",INDEX(Configuracion!$D$12:$D$14,MATCH(C20,Configuracion!$B$12:$B$14,1)))</f>
        <v/>
      </c>
      <c r="F20" s="22" t="str">
        <f aca="false">IF(C20="","",INDEX(Configuracion!$A$12:$A$14,MATCH(C20,Configuracion!$B$12:$B$14,1)))</f>
        <v/>
      </c>
      <c r="G20" s="20" t="str">
        <f aca="false">IF(C20="","",C20*D20)</f>
        <v/>
      </c>
      <c r="H20" s="20" t="str">
        <f aca="false">IF(C20="","",G20*E20)</f>
        <v/>
      </c>
      <c r="I20" s="20" t="str">
        <f aca="false">IF(C20="","",G20*Configuracion!$B$8)</f>
        <v/>
      </c>
    </row>
    <row r="21" customFormat="false" ht="15" hidden="false" customHeight="false" outlineLevel="0" collapsed="false">
      <c r="A21" s="18"/>
      <c r="B21" s="19"/>
      <c r="C21" s="18"/>
      <c r="D21" s="20" t="n">
        <f aca="false">Configuracion!$B$5</f>
        <v>250</v>
      </c>
      <c r="E21" s="21" t="str">
        <f aca="false">IF(C21="","",INDEX(Configuracion!$D$12:$D$14,MATCH(C21,Configuracion!$B$12:$B$14,1)))</f>
        <v/>
      </c>
      <c r="F21" s="22" t="str">
        <f aca="false">IF(C21="","",INDEX(Configuracion!$A$12:$A$14,MATCH(C21,Configuracion!$B$12:$B$14,1)))</f>
        <v/>
      </c>
      <c r="G21" s="20" t="str">
        <f aca="false">IF(C21="","",C21*D21)</f>
        <v/>
      </c>
      <c r="H21" s="20" t="str">
        <f aca="false">IF(C21="","",G21*E21)</f>
        <v/>
      </c>
      <c r="I21" s="20" t="str">
        <f aca="false">IF(C21="","",G21*Configuracion!$B$8)</f>
        <v/>
      </c>
    </row>
    <row r="22" customFormat="false" ht="15" hidden="false" customHeight="false" outlineLevel="0" collapsed="false">
      <c r="A22" s="18"/>
      <c r="B22" s="19"/>
      <c r="C22" s="18"/>
      <c r="D22" s="20" t="n">
        <f aca="false">Configuracion!$B$5</f>
        <v>250</v>
      </c>
      <c r="E22" s="21" t="str">
        <f aca="false">IF(C22="","",INDEX(Configuracion!$D$12:$D$14,MATCH(C22,Configuracion!$B$12:$B$14,1)))</f>
        <v/>
      </c>
      <c r="F22" s="22" t="str">
        <f aca="false">IF(C22="","",INDEX(Configuracion!$A$12:$A$14,MATCH(C22,Configuracion!$B$12:$B$14,1)))</f>
        <v/>
      </c>
      <c r="G22" s="20" t="str">
        <f aca="false">IF(C22="","",C22*D22)</f>
        <v/>
      </c>
      <c r="H22" s="20" t="str">
        <f aca="false">IF(C22="","",G22*E22)</f>
        <v/>
      </c>
      <c r="I22" s="20" t="str">
        <f aca="false">IF(C22="","",G22*Configuracion!$B$8)</f>
        <v/>
      </c>
    </row>
    <row r="23" customFormat="false" ht="15" hidden="false" customHeight="false" outlineLevel="0" collapsed="false">
      <c r="A23" s="18"/>
      <c r="B23" s="19"/>
      <c r="C23" s="18"/>
      <c r="D23" s="20" t="n">
        <f aca="false">Configuracion!$B$5</f>
        <v>250</v>
      </c>
      <c r="E23" s="21" t="str">
        <f aca="false">IF(C23="","",INDEX(Configuracion!$D$12:$D$14,MATCH(C23,Configuracion!$B$12:$B$14,1)))</f>
        <v/>
      </c>
      <c r="F23" s="22" t="str">
        <f aca="false">IF(C23="","",INDEX(Configuracion!$A$12:$A$14,MATCH(C23,Configuracion!$B$12:$B$14,1)))</f>
        <v/>
      </c>
      <c r="G23" s="20" t="str">
        <f aca="false">IF(C23="","",C23*D23)</f>
        <v/>
      </c>
      <c r="H23" s="20" t="str">
        <f aca="false">IF(C23="","",G23*E23)</f>
        <v/>
      </c>
      <c r="I23" s="20" t="str">
        <f aca="false">IF(C23="","",G23*Configuracion!$B$8)</f>
        <v/>
      </c>
    </row>
    <row r="24" customFormat="false" ht="15" hidden="false" customHeight="false" outlineLevel="0" collapsed="false">
      <c r="A24" s="18"/>
      <c r="B24" s="19"/>
      <c r="C24" s="18"/>
      <c r="D24" s="20" t="n">
        <f aca="false">Configuracion!$B$5</f>
        <v>250</v>
      </c>
      <c r="E24" s="21" t="str">
        <f aca="false">IF(C24="","",INDEX(Configuracion!$D$12:$D$14,MATCH(C24,Configuracion!$B$12:$B$14,1)))</f>
        <v/>
      </c>
      <c r="F24" s="22" t="str">
        <f aca="false">IF(C24="","",INDEX(Configuracion!$A$12:$A$14,MATCH(C24,Configuracion!$B$12:$B$14,1)))</f>
        <v/>
      </c>
      <c r="G24" s="20" t="str">
        <f aca="false">IF(C24="","",C24*D24)</f>
        <v/>
      </c>
      <c r="H24" s="20" t="str">
        <f aca="false">IF(C24="","",G24*E24)</f>
        <v/>
      </c>
      <c r="I24" s="20" t="str">
        <f aca="false">IF(C24="","",G24*Configuracion!$B$8)</f>
        <v/>
      </c>
    </row>
    <row r="25" customFormat="false" ht="15" hidden="false" customHeight="false" outlineLevel="0" collapsed="false">
      <c r="A25" s="18"/>
      <c r="B25" s="19"/>
      <c r="C25" s="18"/>
      <c r="D25" s="20" t="n">
        <f aca="false">Configuracion!$B$5</f>
        <v>250</v>
      </c>
      <c r="E25" s="21" t="str">
        <f aca="false">IF(C25="","",INDEX(Configuracion!$D$12:$D$14,MATCH(C25,Configuracion!$B$12:$B$14,1)))</f>
        <v/>
      </c>
      <c r="F25" s="22" t="str">
        <f aca="false">IF(C25="","",INDEX(Configuracion!$A$12:$A$14,MATCH(C25,Configuracion!$B$12:$B$14,1)))</f>
        <v/>
      </c>
      <c r="G25" s="20" t="str">
        <f aca="false">IF(C25="","",C25*D25)</f>
        <v/>
      </c>
      <c r="H25" s="20" t="str">
        <f aca="false">IF(C25="","",G25*E25)</f>
        <v/>
      </c>
      <c r="I25" s="20" t="str">
        <f aca="false">IF(C25="","",G25*Configuracion!$B$8)</f>
        <v/>
      </c>
    </row>
    <row r="26" customFormat="false" ht="15" hidden="false" customHeight="false" outlineLevel="0" collapsed="false">
      <c r="A26" s="18"/>
      <c r="B26" s="19"/>
      <c r="C26" s="18"/>
      <c r="D26" s="20" t="n">
        <f aca="false">Configuracion!$B$5</f>
        <v>250</v>
      </c>
      <c r="E26" s="21" t="str">
        <f aca="false">IF(C26="","",INDEX(Configuracion!$D$12:$D$14,MATCH(C26,Configuracion!$B$12:$B$14,1)))</f>
        <v/>
      </c>
      <c r="F26" s="22" t="str">
        <f aca="false">IF(C26="","",INDEX(Configuracion!$A$12:$A$14,MATCH(C26,Configuracion!$B$12:$B$14,1)))</f>
        <v/>
      </c>
      <c r="G26" s="20" t="str">
        <f aca="false">IF(C26="","",C26*D26)</f>
        <v/>
      </c>
      <c r="H26" s="20" t="str">
        <f aca="false">IF(C26="","",G26*E26)</f>
        <v/>
      </c>
      <c r="I26" s="20" t="str">
        <f aca="false">IF(C26="","",G26*Configuracion!$B$8)</f>
        <v/>
      </c>
    </row>
    <row r="27" customFormat="false" ht="15" hidden="false" customHeight="false" outlineLevel="0" collapsed="false">
      <c r="A27" s="18"/>
      <c r="B27" s="19"/>
      <c r="C27" s="18"/>
      <c r="D27" s="20" t="n">
        <f aca="false">Configuracion!$B$5</f>
        <v>250</v>
      </c>
      <c r="E27" s="21" t="str">
        <f aca="false">IF(C27="","",INDEX(Configuracion!$D$12:$D$14,MATCH(C27,Configuracion!$B$12:$B$14,1)))</f>
        <v/>
      </c>
      <c r="F27" s="22" t="str">
        <f aca="false">IF(C27="","",INDEX(Configuracion!$A$12:$A$14,MATCH(C27,Configuracion!$B$12:$B$14,1)))</f>
        <v/>
      </c>
      <c r="G27" s="20" t="str">
        <f aca="false">IF(C27="","",C27*D27)</f>
        <v/>
      </c>
      <c r="H27" s="20" t="str">
        <f aca="false">IF(C27="","",G27*E27)</f>
        <v/>
      </c>
      <c r="I27" s="20" t="str">
        <f aca="false">IF(C27="","",G27*Configuracion!$B$8)</f>
        <v/>
      </c>
    </row>
    <row r="28" customFormat="false" ht="15" hidden="false" customHeight="false" outlineLevel="0" collapsed="false">
      <c r="A28" s="18"/>
      <c r="B28" s="19"/>
      <c r="C28" s="18"/>
      <c r="D28" s="20" t="n">
        <f aca="false">Configuracion!$B$5</f>
        <v>250</v>
      </c>
      <c r="E28" s="21" t="str">
        <f aca="false">IF(C28="","",INDEX(Configuracion!$D$12:$D$14,MATCH(C28,Configuracion!$B$12:$B$14,1)))</f>
        <v/>
      </c>
      <c r="F28" s="22" t="str">
        <f aca="false">IF(C28="","",INDEX(Configuracion!$A$12:$A$14,MATCH(C28,Configuracion!$B$12:$B$14,1)))</f>
        <v/>
      </c>
      <c r="G28" s="20" t="str">
        <f aca="false">IF(C28="","",C28*D28)</f>
        <v/>
      </c>
      <c r="H28" s="20" t="str">
        <f aca="false">IF(C28="","",G28*E28)</f>
        <v/>
      </c>
      <c r="I28" s="20" t="str">
        <f aca="false">IF(C28="","",G28*Configuracion!$B$8)</f>
        <v/>
      </c>
    </row>
    <row r="30" customFormat="false" ht="15" hidden="false" customHeight="false" outlineLevel="0" collapsed="false">
      <c r="B30" s="23" t="s">
        <v>62</v>
      </c>
      <c r="C30" s="23" t="n">
        <f aca="false">SUM(C5:C28)</f>
        <v>48</v>
      </c>
      <c r="G30" s="24" t="n">
        <f aca="false">SUM(G5:G28)</f>
        <v>12000</v>
      </c>
      <c r="H30" s="24" t="n">
        <f aca="false">SUM(H5:H28)</f>
        <v>4350</v>
      </c>
      <c r="I30" s="24" t="n">
        <f aca="false">SUM(I5:I28)</f>
        <v>1920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7" min="3" style="0" width="18"/>
  </cols>
  <sheetData>
    <row r="1" customFormat="false" ht="27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50</v>
      </c>
      <c r="B4" s="6" t="s">
        <v>51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31</v>
      </c>
    </row>
    <row r="5" customFormat="false" ht="15" hidden="false" customHeight="false" outlineLevel="0" collapsed="false">
      <c r="A5" s="18" t="s">
        <v>59</v>
      </c>
      <c r="B5" s="19" t="s">
        <v>60</v>
      </c>
      <c r="C5" s="18" t="n">
        <v>3</v>
      </c>
      <c r="D5" s="20" t="n">
        <f aca="false">Configuracion!$B$6</f>
        <v>4500</v>
      </c>
      <c r="E5" s="20" t="n">
        <f aca="false">IF(C5="","",C5*D5)</f>
        <v>13500</v>
      </c>
      <c r="F5" s="20" t="n">
        <f aca="false">IF(C5="","",C5*Configuracion!$B$7)</f>
        <v>3000</v>
      </c>
      <c r="G5" s="20" t="n">
        <f aca="false">IF(C5="","",E5*Configuracion!$B$8)</f>
        <v>2160</v>
      </c>
    </row>
    <row r="6" customFormat="false" ht="15" hidden="false" customHeight="false" outlineLevel="0" collapsed="false">
      <c r="A6" s="18"/>
      <c r="B6" s="19"/>
      <c r="C6" s="18"/>
      <c r="D6" s="20" t="n">
        <f aca="false">Configuracion!$B$6</f>
        <v>4500</v>
      </c>
      <c r="E6" s="20" t="str">
        <f aca="false">IF(C6="","",C6*D6)</f>
        <v/>
      </c>
      <c r="F6" s="20" t="str">
        <f aca="false">IF(C6="","",C6*Configuracion!$B$7)</f>
        <v/>
      </c>
      <c r="G6" s="20" t="str">
        <f aca="false">IF(C6="","",E6*Configuracion!$B$8)</f>
        <v/>
      </c>
    </row>
    <row r="7" customFormat="false" ht="15" hidden="false" customHeight="false" outlineLevel="0" collapsed="false">
      <c r="A7" s="18"/>
      <c r="B7" s="19"/>
      <c r="C7" s="18"/>
      <c r="D7" s="20" t="n">
        <f aca="false">Configuracion!$B$6</f>
        <v>4500</v>
      </c>
      <c r="E7" s="20" t="str">
        <f aca="false">IF(C7="","",C7*D7)</f>
        <v/>
      </c>
      <c r="F7" s="20" t="str">
        <f aca="false">IF(C7="","",C7*Configuracion!$B$7)</f>
        <v/>
      </c>
      <c r="G7" s="20" t="str">
        <f aca="false">IF(C7="","",E7*Configuracion!$B$8)</f>
        <v/>
      </c>
    </row>
    <row r="8" customFormat="false" ht="15" hidden="false" customHeight="false" outlineLevel="0" collapsed="false">
      <c r="A8" s="18"/>
      <c r="B8" s="19"/>
      <c r="C8" s="18"/>
      <c r="D8" s="20" t="n">
        <f aca="false">Configuracion!$B$6</f>
        <v>4500</v>
      </c>
      <c r="E8" s="20" t="str">
        <f aca="false">IF(C8="","",C8*D8)</f>
        <v/>
      </c>
      <c r="F8" s="20" t="str">
        <f aca="false">IF(C8="","",C8*Configuracion!$B$7)</f>
        <v/>
      </c>
      <c r="G8" s="20" t="str">
        <f aca="false">IF(C8="","",E8*Configuracion!$B$8)</f>
        <v/>
      </c>
    </row>
    <row r="9" customFormat="false" ht="15" hidden="false" customHeight="false" outlineLevel="0" collapsed="false">
      <c r="A9" s="18"/>
      <c r="B9" s="19"/>
      <c r="C9" s="18"/>
      <c r="D9" s="20" t="n">
        <f aca="false">Configuracion!$B$6</f>
        <v>4500</v>
      </c>
      <c r="E9" s="20" t="str">
        <f aca="false">IF(C9="","",C9*D9)</f>
        <v/>
      </c>
      <c r="F9" s="20" t="str">
        <f aca="false">IF(C9="","",C9*Configuracion!$B$7)</f>
        <v/>
      </c>
      <c r="G9" s="20" t="str">
        <f aca="false">IF(C9="","",E9*Configuracion!$B$8)</f>
        <v/>
      </c>
    </row>
    <row r="10" customFormat="false" ht="15" hidden="false" customHeight="false" outlineLevel="0" collapsed="false">
      <c r="A10" s="18"/>
      <c r="B10" s="19"/>
      <c r="C10" s="18"/>
      <c r="D10" s="20" t="n">
        <f aca="false">Configuracion!$B$6</f>
        <v>4500</v>
      </c>
      <c r="E10" s="20" t="str">
        <f aca="false">IF(C10="","",C10*D10)</f>
        <v/>
      </c>
      <c r="F10" s="20" t="str">
        <f aca="false">IF(C10="","",C10*Configuracion!$B$7)</f>
        <v/>
      </c>
      <c r="G10" s="20" t="str">
        <f aca="false">IF(C10="","",E10*Configuracion!$B$8)</f>
        <v/>
      </c>
    </row>
    <row r="11" customFormat="false" ht="15" hidden="false" customHeight="false" outlineLevel="0" collapsed="false">
      <c r="A11" s="18"/>
      <c r="B11" s="19"/>
      <c r="C11" s="18"/>
      <c r="D11" s="20" t="n">
        <f aca="false">Configuracion!$B$6</f>
        <v>4500</v>
      </c>
      <c r="E11" s="20" t="str">
        <f aca="false">IF(C11="","",C11*D11)</f>
        <v/>
      </c>
      <c r="F11" s="20" t="str">
        <f aca="false">IF(C11="","",C11*Configuracion!$B$7)</f>
        <v/>
      </c>
      <c r="G11" s="20" t="str">
        <f aca="false">IF(C11="","",E11*Configuracion!$B$8)</f>
        <v/>
      </c>
    </row>
    <row r="12" customFormat="false" ht="15" hidden="false" customHeight="false" outlineLevel="0" collapsed="false">
      <c r="A12" s="18"/>
      <c r="B12" s="19"/>
      <c r="C12" s="18"/>
      <c r="D12" s="20" t="n">
        <f aca="false">Configuracion!$B$6</f>
        <v>4500</v>
      </c>
      <c r="E12" s="20" t="str">
        <f aca="false">IF(C12="","",C12*D12)</f>
        <v/>
      </c>
      <c r="F12" s="20" t="str">
        <f aca="false">IF(C12="","",C12*Configuracion!$B$7)</f>
        <v/>
      </c>
      <c r="G12" s="20" t="str">
        <f aca="false">IF(C12="","",E12*Configuracion!$B$8)</f>
        <v/>
      </c>
    </row>
    <row r="13" customFormat="false" ht="15" hidden="false" customHeight="false" outlineLevel="0" collapsed="false">
      <c r="A13" s="18"/>
      <c r="B13" s="19"/>
      <c r="C13" s="18"/>
      <c r="D13" s="20" t="n">
        <f aca="false">Configuracion!$B$6</f>
        <v>4500</v>
      </c>
      <c r="E13" s="20" t="str">
        <f aca="false">IF(C13="","",C13*D13)</f>
        <v/>
      </c>
      <c r="F13" s="20" t="str">
        <f aca="false">IF(C13="","",C13*Configuracion!$B$7)</f>
        <v/>
      </c>
      <c r="G13" s="20" t="str">
        <f aca="false">IF(C13="","",E13*Configuracion!$B$8)</f>
        <v/>
      </c>
    </row>
    <row r="14" customFormat="false" ht="15" hidden="false" customHeight="false" outlineLevel="0" collapsed="false">
      <c r="A14" s="18"/>
      <c r="B14" s="19"/>
      <c r="C14" s="18"/>
      <c r="D14" s="20" t="n">
        <f aca="false">Configuracion!$B$6</f>
        <v>4500</v>
      </c>
      <c r="E14" s="20" t="str">
        <f aca="false">IF(C14="","",C14*D14)</f>
        <v/>
      </c>
      <c r="F14" s="20" t="str">
        <f aca="false">IF(C14="","",C14*Configuracion!$B$7)</f>
        <v/>
      </c>
      <c r="G14" s="20" t="str">
        <f aca="false">IF(C14="","",E14*Configuracion!$B$8)</f>
        <v/>
      </c>
    </row>
    <row r="15" customFormat="false" ht="15" hidden="false" customHeight="false" outlineLevel="0" collapsed="false">
      <c r="A15" s="18"/>
      <c r="B15" s="19"/>
      <c r="C15" s="18"/>
      <c r="D15" s="20" t="n">
        <f aca="false">Configuracion!$B$6</f>
        <v>4500</v>
      </c>
      <c r="E15" s="20" t="str">
        <f aca="false">IF(C15="","",C15*D15)</f>
        <v/>
      </c>
      <c r="F15" s="20" t="str">
        <f aca="false">IF(C15="","",C15*Configuracion!$B$7)</f>
        <v/>
      </c>
      <c r="G15" s="20" t="str">
        <f aca="false">IF(C15="","",E15*Configuracion!$B$8)</f>
        <v/>
      </c>
    </row>
    <row r="16" customFormat="false" ht="15" hidden="false" customHeight="false" outlineLevel="0" collapsed="false">
      <c r="A16" s="18"/>
      <c r="B16" s="19"/>
      <c r="C16" s="18"/>
      <c r="D16" s="20" t="n">
        <f aca="false">Configuracion!$B$6</f>
        <v>4500</v>
      </c>
      <c r="E16" s="20" t="str">
        <f aca="false">IF(C16="","",C16*D16)</f>
        <v/>
      </c>
      <c r="F16" s="20" t="str">
        <f aca="false">IF(C16="","",C16*Configuracion!$B$7)</f>
        <v/>
      </c>
      <c r="G16" s="20" t="str">
        <f aca="false">IF(C16="","",E16*Configuracion!$B$8)</f>
        <v/>
      </c>
    </row>
    <row r="17" customFormat="false" ht="15" hidden="false" customHeight="false" outlineLevel="0" collapsed="false">
      <c r="A17" s="18"/>
      <c r="B17" s="19"/>
      <c r="C17" s="18"/>
      <c r="D17" s="20" t="n">
        <f aca="false">Configuracion!$B$6</f>
        <v>4500</v>
      </c>
      <c r="E17" s="20" t="str">
        <f aca="false">IF(C17="","",C17*D17)</f>
        <v/>
      </c>
      <c r="F17" s="20" t="str">
        <f aca="false">IF(C17="","",C17*Configuracion!$B$7)</f>
        <v/>
      </c>
      <c r="G17" s="20" t="str">
        <f aca="false">IF(C17="","",E17*Configuracion!$B$8)</f>
        <v/>
      </c>
    </row>
    <row r="18" customFormat="false" ht="15" hidden="false" customHeight="false" outlineLevel="0" collapsed="false">
      <c r="A18" s="18"/>
      <c r="B18" s="19"/>
      <c r="C18" s="18"/>
      <c r="D18" s="20" t="n">
        <f aca="false">Configuracion!$B$6</f>
        <v>4500</v>
      </c>
      <c r="E18" s="20" t="str">
        <f aca="false">IF(C18="","",C18*D18)</f>
        <v/>
      </c>
      <c r="F18" s="20" t="str">
        <f aca="false">IF(C18="","",C18*Configuracion!$B$7)</f>
        <v/>
      </c>
      <c r="G18" s="20" t="str">
        <f aca="false">IF(C18="","",E18*Configuracion!$B$8)</f>
        <v/>
      </c>
    </row>
    <row r="19" customFormat="false" ht="15" hidden="false" customHeight="false" outlineLevel="0" collapsed="false">
      <c r="A19" s="18"/>
      <c r="B19" s="19"/>
      <c r="C19" s="18"/>
      <c r="D19" s="20" t="n">
        <f aca="false">Configuracion!$B$6</f>
        <v>4500</v>
      </c>
      <c r="E19" s="20" t="str">
        <f aca="false">IF(C19="","",C19*D19)</f>
        <v/>
      </c>
      <c r="F19" s="20" t="str">
        <f aca="false">IF(C19="","",C19*Configuracion!$B$7)</f>
        <v/>
      </c>
      <c r="G19" s="20" t="str">
        <f aca="false">IF(C19="","",E19*Configuracion!$B$8)</f>
        <v/>
      </c>
    </row>
    <row r="20" customFormat="false" ht="15" hidden="false" customHeight="false" outlineLevel="0" collapsed="false">
      <c r="A20" s="18"/>
      <c r="B20" s="19"/>
      <c r="C20" s="18"/>
      <c r="D20" s="20" t="n">
        <f aca="false">Configuracion!$B$6</f>
        <v>4500</v>
      </c>
      <c r="E20" s="20" t="str">
        <f aca="false">IF(C20="","",C20*D20)</f>
        <v/>
      </c>
      <c r="F20" s="20" t="str">
        <f aca="false">IF(C20="","",C20*Configuracion!$B$7)</f>
        <v/>
      </c>
      <c r="G20" s="20" t="str">
        <f aca="false">IF(C20="","",E20*Configuracion!$B$8)</f>
        <v/>
      </c>
    </row>
    <row r="21" customFormat="false" ht="15" hidden="false" customHeight="false" outlineLevel="0" collapsed="false">
      <c r="A21" s="18"/>
      <c r="B21" s="19"/>
      <c r="C21" s="18"/>
      <c r="D21" s="20" t="n">
        <f aca="false">Configuracion!$B$6</f>
        <v>4500</v>
      </c>
      <c r="E21" s="20" t="str">
        <f aca="false">IF(C21="","",C21*D21)</f>
        <v/>
      </c>
      <c r="F21" s="20" t="str">
        <f aca="false">IF(C21="","",C21*Configuracion!$B$7)</f>
        <v/>
      </c>
      <c r="G21" s="20" t="str">
        <f aca="false">IF(C21="","",E21*Configuracion!$B$8)</f>
        <v/>
      </c>
    </row>
    <row r="22" customFormat="false" ht="15" hidden="false" customHeight="false" outlineLevel="0" collapsed="false">
      <c r="A22" s="18"/>
      <c r="B22" s="19"/>
      <c r="C22" s="18"/>
      <c r="D22" s="20" t="n">
        <f aca="false">Configuracion!$B$6</f>
        <v>4500</v>
      </c>
      <c r="E22" s="20" t="str">
        <f aca="false">IF(C22="","",C22*D22)</f>
        <v/>
      </c>
      <c r="F22" s="20" t="str">
        <f aca="false">IF(C22="","",C22*Configuracion!$B$7)</f>
        <v/>
      </c>
      <c r="G22" s="20" t="str">
        <f aca="false">IF(C22="","",E22*Configuracion!$B$8)</f>
        <v/>
      </c>
    </row>
    <row r="23" customFormat="false" ht="15" hidden="false" customHeight="false" outlineLevel="0" collapsed="false">
      <c r="A23" s="18"/>
      <c r="B23" s="19"/>
      <c r="C23" s="18"/>
      <c r="D23" s="20" t="n">
        <f aca="false">Configuracion!$B$6</f>
        <v>4500</v>
      </c>
      <c r="E23" s="20" t="str">
        <f aca="false">IF(C23="","",C23*D23)</f>
        <v/>
      </c>
      <c r="F23" s="20" t="str">
        <f aca="false">IF(C23="","",C23*Configuracion!$B$7)</f>
        <v/>
      </c>
      <c r="G23" s="20" t="str">
        <f aca="false">IF(C23="","",E23*Configuracion!$B$8)</f>
        <v/>
      </c>
    </row>
    <row r="24" customFormat="false" ht="15" hidden="false" customHeight="false" outlineLevel="0" collapsed="false">
      <c r="A24" s="18"/>
      <c r="B24" s="19"/>
      <c r="C24" s="18"/>
      <c r="D24" s="20" t="n">
        <f aca="false">Configuracion!$B$6</f>
        <v>4500</v>
      </c>
      <c r="E24" s="20" t="str">
        <f aca="false">IF(C24="","",C24*D24)</f>
        <v/>
      </c>
      <c r="F24" s="20" t="str">
        <f aca="false">IF(C24="","",C24*Configuracion!$B$7)</f>
        <v/>
      </c>
      <c r="G24" s="20" t="str">
        <f aca="false">IF(C24="","",E24*Configuracion!$B$8)</f>
        <v/>
      </c>
    </row>
    <row r="25" customFormat="false" ht="15" hidden="false" customHeight="false" outlineLevel="0" collapsed="false">
      <c r="A25" s="18"/>
      <c r="B25" s="19"/>
      <c r="C25" s="18"/>
      <c r="D25" s="20" t="n">
        <f aca="false">Configuracion!$B$6</f>
        <v>4500</v>
      </c>
      <c r="E25" s="20" t="str">
        <f aca="false">IF(C25="","",C25*D25)</f>
        <v/>
      </c>
      <c r="F25" s="20" t="str">
        <f aca="false">IF(C25="","",C25*Configuracion!$B$7)</f>
        <v/>
      </c>
      <c r="G25" s="20" t="str">
        <f aca="false">IF(C25="","",E25*Configuracion!$B$8)</f>
        <v/>
      </c>
    </row>
    <row r="26" customFormat="false" ht="15" hidden="false" customHeight="false" outlineLevel="0" collapsed="false">
      <c r="A26" s="18"/>
      <c r="B26" s="19"/>
      <c r="C26" s="18"/>
      <c r="D26" s="20" t="n">
        <f aca="false">Configuracion!$B$6</f>
        <v>4500</v>
      </c>
      <c r="E26" s="20" t="str">
        <f aca="false">IF(C26="","",C26*D26)</f>
        <v/>
      </c>
      <c r="F26" s="20" t="str">
        <f aca="false">IF(C26="","",C26*Configuracion!$B$7)</f>
        <v/>
      </c>
      <c r="G26" s="20" t="str">
        <f aca="false">IF(C26="","",E26*Configuracion!$B$8)</f>
        <v/>
      </c>
    </row>
    <row r="27" customFormat="false" ht="15" hidden="false" customHeight="false" outlineLevel="0" collapsed="false">
      <c r="A27" s="18"/>
      <c r="B27" s="19"/>
      <c r="C27" s="18"/>
      <c r="D27" s="20" t="n">
        <f aca="false">Configuracion!$B$6</f>
        <v>4500</v>
      </c>
      <c r="E27" s="20" t="str">
        <f aca="false">IF(C27="","",C27*D27)</f>
        <v/>
      </c>
      <c r="F27" s="20" t="str">
        <f aca="false">IF(C27="","",C27*Configuracion!$B$7)</f>
        <v/>
      </c>
      <c r="G27" s="20" t="str">
        <f aca="false">IF(C27="","",E27*Configuracion!$B$8)</f>
        <v/>
      </c>
    </row>
    <row r="28" customFormat="false" ht="15" hidden="false" customHeight="false" outlineLevel="0" collapsed="false">
      <c r="A28" s="18"/>
      <c r="B28" s="19"/>
      <c r="C28" s="18"/>
      <c r="D28" s="20" t="n">
        <f aca="false">Configuracion!$B$6</f>
        <v>4500</v>
      </c>
      <c r="E28" s="20" t="str">
        <f aca="false">IF(C28="","",C28*D28)</f>
        <v/>
      </c>
      <c r="F28" s="20" t="str">
        <f aca="false">IF(C28="","",C28*Configuracion!$B$7)</f>
        <v/>
      </c>
      <c r="G28" s="20" t="str">
        <f aca="false">IF(C28="","",E28*Configuracion!$B$8)</f>
        <v/>
      </c>
    </row>
    <row r="30" customFormat="false" ht="15" hidden="false" customHeight="false" outlineLevel="0" collapsed="false">
      <c r="B30" s="23" t="s">
        <v>62</v>
      </c>
      <c r="C30" s="23" t="n">
        <f aca="false">SUM(C5:C28)</f>
        <v>3</v>
      </c>
      <c r="E30" s="24" t="n">
        <f aca="false">SUM(E5:E28)</f>
        <v>13500</v>
      </c>
      <c r="F30" s="24" t="n">
        <f aca="false">SUM(F5:F28)</f>
        <v>3000</v>
      </c>
      <c r="G30" s="24" t="n">
        <f aca="false">SUM(G5:G28)</f>
        <v>2160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69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</row>
    <row r="4" customFormat="false" ht="31.5" hidden="false" customHeight="true" outlineLevel="0" collapsed="false">
      <c r="A4" s="6" t="s">
        <v>71</v>
      </c>
      <c r="B4" s="6" t="s">
        <v>51</v>
      </c>
      <c r="C4" s="6" t="s">
        <v>72</v>
      </c>
      <c r="D4" s="6" t="s">
        <v>55</v>
      </c>
      <c r="E4" s="6" t="s">
        <v>17</v>
      </c>
    </row>
    <row r="5" customFormat="false" ht="28.35" hidden="false" customHeight="false" outlineLevel="0" collapsed="false">
      <c r="A5" s="18" t="s">
        <v>73</v>
      </c>
      <c r="B5" s="19" t="s">
        <v>60</v>
      </c>
      <c r="C5" s="18" t="n">
        <v>32</v>
      </c>
      <c r="D5" s="22" t="str">
        <f aca="false">IF(C5="","",INDEX(Configuracion!$A$18:$A$21,MATCH(C5,Configuracion!$B$18:$B$21,1)))</f>
        <v>25–49 doctores activos</v>
      </c>
      <c r="E5" s="20" t="n">
        <f aca="false">IF(C5="","",INDEX(Configuracion!$D$18:$D$21,MATCH(C5,Configuracion!$B$18:$B$21,1)))</f>
        <v>4000</v>
      </c>
    </row>
    <row r="6" customFormat="false" ht="15" hidden="false" customHeight="false" outlineLevel="0" collapsed="false">
      <c r="A6" s="18"/>
      <c r="B6" s="19"/>
      <c r="C6" s="18"/>
      <c r="D6" s="22" t="str">
        <f aca="false">IF(C6="","",INDEX(Configuracion!$A$18:$A$21,MATCH(C6,Configuracion!$B$18:$B$21,1)))</f>
        <v/>
      </c>
      <c r="E6" s="20" t="str">
        <f aca="false">IF(C6="","",INDEX(Configuracion!$D$18:$D$21,MATCH(C6,Configuracion!$B$18:$B$21,1)))</f>
        <v/>
      </c>
    </row>
    <row r="7" customFormat="false" ht="15" hidden="false" customHeight="false" outlineLevel="0" collapsed="false">
      <c r="A7" s="18"/>
      <c r="B7" s="19"/>
      <c r="C7" s="18"/>
      <c r="D7" s="22" t="str">
        <f aca="false">IF(C7="","",INDEX(Configuracion!$A$18:$A$21,MATCH(C7,Configuracion!$B$18:$B$21,1)))</f>
        <v/>
      </c>
      <c r="E7" s="20" t="str">
        <f aca="false">IF(C7="","",INDEX(Configuracion!$D$18:$D$21,MATCH(C7,Configuracion!$B$18:$B$21,1)))</f>
        <v/>
      </c>
    </row>
    <row r="8" customFormat="false" ht="15" hidden="false" customHeight="false" outlineLevel="0" collapsed="false">
      <c r="A8" s="18"/>
      <c r="B8" s="19"/>
      <c r="C8" s="18"/>
      <c r="D8" s="22" t="str">
        <f aca="false">IF(C8="","",INDEX(Configuracion!$A$18:$A$21,MATCH(C8,Configuracion!$B$18:$B$21,1)))</f>
        <v/>
      </c>
      <c r="E8" s="20" t="str">
        <f aca="false">IF(C8="","",INDEX(Configuracion!$D$18:$D$21,MATCH(C8,Configuracion!$B$18:$B$21,1)))</f>
        <v/>
      </c>
    </row>
    <row r="9" customFormat="false" ht="15" hidden="false" customHeight="false" outlineLevel="0" collapsed="false">
      <c r="A9" s="18"/>
      <c r="B9" s="19"/>
      <c r="C9" s="18"/>
      <c r="D9" s="22" t="str">
        <f aca="false">IF(C9="","",INDEX(Configuracion!$A$18:$A$21,MATCH(C9,Configuracion!$B$18:$B$21,1)))</f>
        <v/>
      </c>
      <c r="E9" s="20" t="str">
        <f aca="false">IF(C9="","",INDEX(Configuracion!$D$18:$D$21,MATCH(C9,Configuracion!$B$18:$B$21,1)))</f>
        <v/>
      </c>
    </row>
    <row r="10" customFormat="false" ht="15" hidden="false" customHeight="false" outlineLevel="0" collapsed="false">
      <c r="A10" s="18"/>
      <c r="B10" s="19"/>
      <c r="C10" s="18"/>
      <c r="D10" s="22" t="str">
        <f aca="false">IF(C10="","",INDEX(Configuracion!$A$18:$A$21,MATCH(C10,Configuracion!$B$18:$B$21,1)))</f>
        <v/>
      </c>
      <c r="E10" s="20" t="str">
        <f aca="false">IF(C10="","",INDEX(Configuracion!$D$18:$D$21,MATCH(C10,Configuracion!$B$18:$B$21,1)))</f>
        <v/>
      </c>
    </row>
    <row r="11" customFormat="false" ht="15" hidden="false" customHeight="false" outlineLevel="0" collapsed="false">
      <c r="A11" s="18"/>
      <c r="B11" s="19"/>
      <c r="C11" s="18"/>
      <c r="D11" s="22" t="str">
        <f aca="false">IF(C11="","",INDEX(Configuracion!$A$18:$A$21,MATCH(C11,Configuracion!$B$18:$B$21,1)))</f>
        <v/>
      </c>
      <c r="E11" s="20" t="str">
        <f aca="false">IF(C11="","",INDEX(Configuracion!$D$18:$D$21,MATCH(C11,Configuracion!$B$18:$B$21,1)))</f>
        <v/>
      </c>
    </row>
    <row r="12" customFormat="false" ht="15" hidden="false" customHeight="false" outlineLevel="0" collapsed="false">
      <c r="A12" s="18"/>
      <c r="B12" s="19"/>
      <c r="C12" s="18"/>
      <c r="D12" s="22" t="str">
        <f aca="false">IF(C12="","",INDEX(Configuracion!$A$18:$A$21,MATCH(C12,Configuracion!$B$18:$B$21,1)))</f>
        <v/>
      </c>
      <c r="E12" s="20" t="str">
        <f aca="false">IF(C12="","",INDEX(Configuracion!$D$18:$D$21,MATCH(C12,Configuracion!$B$18:$B$21,1)))</f>
        <v/>
      </c>
    </row>
    <row r="13" customFormat="false" ht="15" hidden="false" customHeight="false" outlineLevel="0" collapsed="false">
      <c r="A13" s="18"/>
      <c r="B13" s="19"/>
      <c r="C13" s="18"/>
      <c r="D13" s="22" t="str">
        <f aca="false">IF(C13="","",INDEX(Configuracion!$A$18:$A$21,MATCH(C13,Configuracion!$B$18:$B$21,1)))</f>
        <v/>
      </c>
      <c r="E13" s="20" t="str">
        <f aca="false">IF(C13="","",INDEX(Configuracion!$D$18:$D$21,MATCH(C13,Configuracion!$B$18:$B$21,1)))</f>
        <v/>
      </c>
    </row>
    <row r="14" customFormat="false" ht="15" hidden="false" customHeight="false" outlineLevel="0" collapsed="false">
      <c r="A14" s="18"/>
      <c r="B14" s="19"/>
      <c r="C14" s="18"/>
      <c r="D14" s="22" t="str">
        <f aca="false">IF(C14="","",INDEX(Configuracion!$A$18:$A$21,MATCH(C14,Configuracion!$B$18:$B$21,1)))</f>
        <v/>
      </c>
      <c r="E14" s="20" t="str">
        <f aca="false">IF(C14="","",INDEX(Configuracion!$D$18:$D$21,MATCH(C14,Configuracion!$B$18:$B$21,1)))</f>
        <v/>
      </c>
    </row>
    <row r="15" customFormat="false" ht="15" hidden="false" customHeight="false" outlineLevel="0" collapsed="false">
      <c r="A15" s="18"/>
      <c r="B15" s="19"/>
      <c r="C15" s="18"/>
      <c r="D15" s="22" t="str">
        <f aca="false">IF(C15="","",INDEX(Configuracion!$A$18:$A$21,MATCH(C15,Configuracion!$B$18:$B$21,1)))</f>
        <v/>
      </c>
      <c r="E15" s="20" t="str">
        <f aca="false">IF(C15="","",INDEX(Configuracion!$D$18:$D$21,MATCH(C15,Configuracion!$B$18:$B$21,1)))</f>
        <v/>
      </c>
    </row>
    <row r="16" customFormat="false" ht="15" hidden="false" customHeight="false" outlineLevel="0" collapsed="false">
      <c r="A16" s="18"/>
      <c r="B16" s="19"/>
      <c r="C16" s="18"/>
      <c r="D16" s="22" t="str">
        <f aca="false">IF(C16="","",INDEX(Configuracion!$A$18:$A$21,MATCH(C16,Configuracion!$B$18:$B$21,1)))</f>
        <v/>
      </c>
      <c r="E16" s="20" t="str">
        <f aca="false">IF(C16="","",INDEX(Configuracion!$D$18:$D$21,MATCH(C16,Configuracion!$B$18:$B$21,1)))</f>
        <v/>
      </c>
    </row>
    <row r="17" customFormat="false" ht="15" hidden="false" customHeight="false" outlineLevel="0" collapsed="false">
      <c r="A17" s="18"/>
      <c r="B17" s="19"/>
      <c r="C17" s="18"/>
      <c r="D17" s="22" t="str">
        <f aca="false">IF(C17="","",INDEX(Configuracion!$A$18:$A$21,MATCH(C17,Configuracion!$B$18:$B$21,1)))</f>
        <v/>
      </c>
      <c r="E17" s="20" t="str">
        <f aca="false">IF(C17="","",INDEX(Configuracion!$D$18:$D$21,MATCH(C17,Configuracion!$B$18:$B$21,1)))</f>
        <v/>
      </c>
    </row>
    <row r="18" customFormat="false" ht="15" hidden="false" customHeight="false" outlineLevel="0" collapsed="false">
      <c r="A18" s="18"/>
      <c r="B18" s="19"/>
      <c r="C18" s="18"/>
      <c r="D18" s="22" t="str">
        <f aca="false">IF(C18="","",INDEX(Configuracion!$A$18:$A$21,MATCH(C18,Configuracion!$B$18:$B$21,1)))</f>
        <v/>
      </c>
      <c r="E18" s="20" t="str">
        <f aca="false">IF(C18="","",INDEX(Configuracion!$D$18:$D$21,MATCH(C18,Configuracion!$B$18:$B$21,1)))</f>
        <v/>
      </c>
    </row>
    <row r="19" customFormat="false" ht="15" hidden="false" customHeight="false" outlineLevel="0" collapsed="false">
      <c r="A19" s="18"/>
      <c r="B19" s="19"/>
      <c r="C19" s="18"/>
      <c r="D19" s="22" t="str">
        <f aca="false">IF(C19="","",INDEX(Configuracion!$A$18:$A$21,MATCH(C19,Configuracion!$B$18:$B$21,1)))</f>
        <v/>
      </c>
      <c r="E19" s="20" t="str">
        <f aca="false">IF(C19="","",INDEX(Configuracion!$D$18:$D$21,MATCH(C19,Configuracion!$B$18:$B$21,1)))</f>
        <v/>
      </c>
    </row>
    <row r="20" customFormat="false" ht="15" hidden="false" customHeight="false" outlineLevel="0" collapsed="false">
      <c r="A20" s="18"/>
      <c r="B20" s="19"/>
      <c r="C20" s="18"/>
      <c r="D20" s="22" t="str">
        <f aca="false">IF(C20="","",INDEX(Configuracion!$A$18:$A$21,MATCH(C20,Configuracion!$B$18:$B$21,1)))</f>
        <v/>
      </c>
      <c r="E20" s="20" t="str">
        <f aca="false">IF(C20="","",INDEX(Configuracion!$D$18:$D$21,MATCH(C20,Configuracion!$B$18:$B$21,1)))</f>
        <v/>
      </c>
    </row>
    <row r="22" customFormat="false" ht="15" hidden="false" customHeight="false" outlineLevel="0" collapsed="false">
      <c r="B22" s="23" t="s">
        <v>74</v>
      </c>
      <c r="E22" s="24" t="n">
        <f aca="false">SUM(E5:E20)</f>
        <v>4000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2026-07-23T18:49:37Z</dcterms:created>
  <dc:creator>openpyxl</dc:creator>
  <dc:description/>
  <dc:language>en-US</dc:language>
  <cp:lastModifiedBy/>
  <dcterms:modified xsi:type="dcterms:W3CDTF">2026-07-23T18:49:37Z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